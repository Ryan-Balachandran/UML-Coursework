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Chemistry/Lab/Experiment 3/"/>
    </mc:Choice>
  </mc:AlternateContent>
  <xr:revisionPtr revIDLastSave="0" documentId="13_ncr:1_{4695C5E0-6A2D-3548-9AF7-1525C759AD3C}" xr6:coauthVersionLast="47" xr6:coauthVersionMax="47" xr10:uidLastSave="{00000000-0000-0000-0000-000000000000}"/>
  <bookViews>
    <workbookView xWindow="20" yWindow="500" windowWidth="35840" windowHeight="20020" activeTab="3" xr2:uid="{112250B6-06E5-FA47-B449-CF26E0AD2A55}"/>
  </bookViews>
  <sheets>
    <sheet name="Exercise 1 Data" sheetId="1" r:id="rId1"/>
    <sheet name="Exercise 2 Data" sheetId="2" r:id="rId2"/>
    <sheet name="Exercise 3 Data" sheetId="3" r:id="rId3"/>
    <sheet name="Exercise 3 Grap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F14" i="1" s="1"/>
  <c r="E13" i="1"/>
  <c r="F13" i="1" s="1"/>
  <c r="E12" i="1"/>
  <c r="F12" i="1" s="1"/>
  <c r="E11" i="1"/>
  <c r="F11" i="1" s="1"/>
  <c r="E10" i="1"/>
  <c r="F10" i="1" s="1"/>
  <c r="D4" i="1"/>
  <c r="E4" i="1" s="1"/>
  <c r="F4" i="1" s="1"/>
  <c r="D5" i="1"/>
  <c r="E5" i="1" s="1"/>
  <c r="F5" i="1" s="1"/>
  <c r="D6" i="1"/>
  <c r="E6" i="1" s="1"/>
  <c r="F6" i="1" s="1"/>
  <c r="D7" i="1"/>
  <c r="E7" i="1" s="1"/>
  <c r="F7" i="1" s="1"/>
  <c r="D8" i="1"/>
  <c r="E8" i="1" s="1"/>
  <c r="F8" i="1" s="1"/>
  <c r="D9" i="1"/>
  <c r="E9" i="1" s="1"/>
  <c r="F9" i="1" s="1"/>
  <c r="D10" i="1"/>
  <c r="D11" i="1"/>
  <c r="D12" i="1"/>
  <c r="D13" i="1"/>
  <c r="D14" i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3" i="1"/>
  <c r="E3" i="1" s="1"/>
  <c r="F3" i="1" s="1"/>
</calcChain>
</file>

<file path=xl/sharedStrings.xml><?xml version="1.0" encoding="utf-8"?>
<sst xmlns="http://schemas.openxmlformats.org/spreadsheetml/2006/main" count="60" uniqueCount="32">
  <si>
    <t>Wavelength (nm)</t>
  </si>
  <si>
    <t>Color</t>
  </si>
  <si>
    <t>Wavelength (m)</t>
  </si>
  <si>
    <t>Frequency (Hz)</t>
  </si>
  <si>
    <t>Energy (J)</t>
  </si>
  <si>
    <t>Blue</t>
  </si>
  <si>
    <t>Blue/Green</t>
  </si>
  <si>
    <t>Green</t>
  </si>
  <si>
    <t>Green/Yellow</t>
  </si>
  <si>
    <t>Yellow</t>
  </si>
  <si>
    <t>Orange</t>
  </si>
  <si>
    <t>Red</t>
  </si>
  <si>
    <t>Pink</t>
  </si>
  <si>
    <t>C =</t>
  </si>
  <si>
    <t>h =</t>
  </si>
  <si>
    <t>Element</t>
  </si>
  <si>
    <t>Flame Color</t>
  </si>
  <si>
    <t>Lithium</t>
  </si>
  <si>
    <t>Sodium</t>
  </si>
  <si>
    <t>Potassium</t>
  </si>
  <si>
    <t>Barium</t>
  </si>
  <si>
    <t>Copper</t>
  </si>
  <si>
    <t>Calcium</t>
  </si>
  <si>
    <t>Strontium</t>
  </si>
  <si>
    <t xml:space="preserve">Light green </t>
  </si>
  <si>
    <t>Approximate Wavelength (nm)</t>
  </si>
  <si>
    <t>Approximate Energy (J)</t>
  </si>
  <si>
    <t>Hydrogen Lamp</t>
  </si>
  <si>
    <t>Mercury Lamp</t>
  </si>
  <si>
    <t>Calculated Wavelength</t>
  </si>
  <si>
    <t>Balmer Series</t>
  </si>
  <si>
    <t>Color 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</si>
</sst>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E+00"/>
  </numFmts>
  <fonts count="3">
    <font>
      <sz val="12"/>
      <color theme="1"/>
      <name val="TimesNewRomanPSMT"/>
      <family val="2"/>
    </font>
    <font>
      <sz val="18"/>
      <color theme="1"/>
      <name val="TimesNewRomanPSMT"/>
      <family val="2"/>
    </font>
    <font>
      <b/>
      <sz val="18"/>
      <color theme="1"/>
      <name val="TimesNewRomanPSMT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1" fontId="1" fillId="0" borderId="9" xfId="0" applyNumberFormat="1" applyFont="1" applyBorder="1" applyAlignment="1">
      <alignment horizontal="center" vertical="center"/>
    </xf>
    <xf numFmtId="11" fontId="1" fillId="0" borderId="1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>
                <a:solidFill>
                  <a:schemeClr val="tx1"/>
                </a:solidFill>
              </a:rPr>
              <a:t>Hydrogen Emission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tx1">
                    <a:lumMod val="95000"/>
                    <a:lumOff val="5000"/>
                  </a:schemeClr>
                </a:solidFill>
                <a:ln w="9525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95-A048-BA2F-2DC02DEABEFE}"/>
              </c:ext>
            </c:extLst>
          </c:dPt>
          <c:trendline>
            <c:spPr>
              <a:ln w="12700" cap="rnd">
                <a:solidFill>
                  <a:srgbClr val="FF0000"/>
                </a:solidFill>
                <a:prstDash val="lgDash"/>
              </a:ln>
              <a:effectLst/>
            </c:spPr>
            <c:trendlineType val="linear"/>
            <c:forward val="30"/>
            <c:backward val="100"/>
            <c:dispRSqr val="0"/>
            <c:dispEq val="1"/>
            <c:trendlineLbl>
              <c:layout>
                <c:manualLayout>
                  <c:x val="-8.4809720945255268E-2"/>
                  <c:y val="4.85455853976465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'Exercise 3 Data'!$C$19:$C$21</c:f>
              <c:numCache>
                <c:formatCode>General</c:formatCode>
                <c:ptCount val="3"/>
                <c:pt idx="0">
                  <c:v>450</c:v>
                </c:pt>
                <c:pt idx="1">
                  <c:v>500</c:v>
                </c:pt>
                <c:pt idx="2">
                  <c:v>670</c:v>
                </c:pt>
              </c:numCache>
            </c:numRef>
          </c:xVal>
          <c:yVal>
            <c:numRef>
              <c:f>'Exercise 3 Data'!$D$19:$D$21</c:f>
              <c:numCache>
                <c:formatCode>General</c:formatCode>
                <c:ptCount val="3"/>
                <c:pt idx="0">
                  <c:v>410</c:v>
                </c:pt>
                <c:pt idx="1">
                  <c:v>434</c:v>
                </c:pt>
                <c:pt idx="2">
                  <c:v>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95-A048-BA2F-2DC02DEA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10767"/>
        <c:axId val="321283167"/>
      </c:scatterChart>
      <c:valAx>
        <c:axId val="321210767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solidFill>
                      <a:schemeClr val="tx1"/>
                    </a:solidFill>
                  </a:rPr>
                  <a:t>Measured 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283167"/>
        <c:crosses val="autoZero"/>
        <c:crossBetween val="midCat"/>
      </c:valAx>
      <c:valAx>
        <c:axId val="321283167"/>
        <c:scaling>
          <c:orientation val="minMax"/>
          <c:max val="5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solidFill>
                      <a:schemeClr val="tx1"/>
                    </a:solidFill>
                  </a:rPr>
                  <a:t>Balmer Series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21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B51072-27E9-0549-9CA0-5E8545262818}">
  <sheetPr/>
  <sheetViews>
    <sheetView tabSelected="1" zoomScale="156" workbookViewId="0" zoomToFit="1"/>
  </sheetViews>
  <pageMargins left="0.7" right="0.7" top="0.75" bottom="0.75" header="0.3" footer="0.3"/>
  <pageSetup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DDD63-795B-0E4A-8182-3B4F846D98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EE62-27A3-4F43-9DEA-5B71CDC4C6E3}">
  <dimension ref="B1:I18"/>
  <sheetViews>
    <sheetView workbookViewId="0">
      <selection activeCell="B17" sqref="B17"/>
    </sheetView>
  </sheetViews>
  <sheetFormatPr baseColWidth="10" defaultRowHeight="23"/>
  <cols>
    <col min="1" max="1" width="10.83203125" style="1"/>
    <col min="2" max="2" width="24.1640625" style="1" bestFit="1" customWidth="1"/>
    <col min="3" max="3" width="18.6640625" style="1" bestFit="1" customWidth="1"/>
    <col min="4" max="4" width="22.5" style="1" bestFit="1" customWidth="1"/>
    <col min="5" max="5" width="22" style="1" bestFit="1" customWidth="1"/>
    <col min="6" max="6" width="15.6640625" style="1" bestFit="1" customWidth="1"/>
    <col min="7" max="7" width="10.83203125" style="1"/>
    <col min="8" max="8" width="6" style="1" bestFit="1" customWidth="1"/>
    <col min="9" max="9" width="14.83203125" style="1" bestFit="1" customWidth="1"/>
    <col min="10" max="16384" width="10.83203125" style="1"/>
  </cols>
  <sheetData>
    <row r="1" spans="2:9" ht="24" thickBot="1"/>
    <row r="2" spans="2:9" ht="24" thickBot="1"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H2" s="1" t="s">
        <v>13</v>
      </c>
      <c r="I2" s="15">
        <v>299800000</v>
      </c>
    </row>
    <row r="3" spans="2:9">
      <c r="B3" s="8">
        <v>400</v>
      </c>
      <c r="C3" s="10" t="s">
        <v>5</v>
      </c>
      <c r="D3" s="13">
        <f>CONVERT(B3,"nm","m")</f>
        <v>4.0000000000000003E-7</v>
      </c>
      <c r="E3" s="16">
        <f>I2/D3</f>
        <v>749499999999999.88</v>
      </c>
      <c r="F3" s="21">
        <f>I3*E3</f>
        <v>4.966186999999999E-19</v>
      </c>
      <c r="H3" s="1" t="s">
        <v>14</v>
      </c>
      <c r="I3" s="15">
        <v>6.6259999999999998E-34</v>
      </c>
    </row>
    <row r="4" spans="2:9">
      <c r="B4" s="3">
        <v>420</v>
      </c>
      <c r="C4" s="2" t="s">
        <v>5</v>
      </c>
      <c r="D4" s="13">
        <f t="shared" ref="D4:D18" si="0">CONVERT(B4,"nm","m")</f>
        <v>4.2E-7</v>
      </c>
      <c r="E4" s="17">
        <f>I2/D4</f>
        <v>713809523809523.75</v>
      </c>
      <c r="F4" s="22">
        <f>I3*E4</f>
        <v>4.7297019047619041E-19</v>
      </c>
    </row>
    <row r="5" spans="2:9">
      <c r="B5" s="3">
        <v>440</v>
      </c>
      <c r="C5" s="2" t="s">
        <v>5</v>
      </c>
      <c r="D5" s="13">
        <f t="shared" si="0"/>
        <v>4.4000000000000002E-7</v>
      </c>
      <c r="E5" s="17">
        <f>I2/D5</f>
        <v>681363636363636.38</v>
      </c>
      <c r="F5" s="22">
        <f>I3*E5</f>
        <v>4.5147154545454545E-19</v>
      </c>
    </row>
    <row r="6" spans="2:9">
      <c r="B6" s="3">
        <v>460</v>
      </c>
      <c r="C6" s="2" t="s">
        <v>5</v>
      </c>
      <c r="D6" s="13">
        <f t="shared" si="0"/>
        <v>4.6000000000000004E-7</v>
      </c>
      <c r="E6" s="17">
        <f>I2/D6</f>
        <v>651739130434782.5</v>
      </c>
      <c r="F6" s="22">
        <f>I3*E6</f>
        <v>4.3184234782608688E-19</v>
      </c>
    </row>
    <row r="7" spans="2:9">
      <c r="B7" s="3">
        <v>480</v>
      </c>
      <c r="C7" s="2" t="s">
        <v>6</v>
      </c>
      <c r="D7" s="13">
        <f t="shared" si="0"/>
        <v>4.8000000000000006E-7</v>
      </c>
      <c r="E7" s="17">
        <f>I2/D7</f>
        <v>624583333333333.25</v>
      </c>
      <c r="F7" s="22">
        <f>I3*E7</f>
        <v>4.1384891666666662E-19</v>
      </c>
    </row>
    <row r="8" spans="2:9">
      <c r="B8" s="3">
        <v>500</v>
      </c>
      <c r="C8" s="2" t="s">
        <v>7</v>
      </c>
      <c r="D8" s="13">
        <f t="shared" si="0"/>
        <v>5.0000000000000008E-7</v>
      </c>
      <c r="E8" s="17">
        <f>I2/D8</f>
        <v>599599999999999.88</v>
      </c>
      <c r="F8" s="22">
        <f>I3*E8</f>
        <v>3.972949599999999E-19</v>
      </c>
    </row>
    <row r="9" spans="2:9">
      <c r="B9" s="3">
        <v>520</v>
      </c>
      <c r="C9" s="2" t="s">
        <v>7</v>
      </c>
      <c r="D9" s="13">
        <f t="shared" si="0"/>
        <v>5.2E-7</v>
      </c>
      <c r="E9" s="17">
        <f>I2/D9</f>
        <v>576538461538461.5</v>
      </c>
      <c r="F9" s="22">
        <f>I3*E9</f>
        <v>3.8201438461538458E-19</v>
      </c>
    </row>
    <row r="10" spans="2:9">
      <c r="B10" s="3">
        <v>540</v>
      </c>
      <c r="C10" s="2" t="s">
        <v>7</v>
      </c>
      <c r="D10" s="13">
        <f t="shared" si="0"/>
        <v>5.4000000000000002E-7</v>
      </c>
      <c r="E10" s="17">
        <f>I2/D10</f>
        <v>555185185185185.19</v>
      </c>
      <c r="F10" s="22">
        <f>I3*E10</f>
        <v>3.6786570370370371E-19</v>
      </c>
    </row>
    <row r="11" spans="2:9">
      <c r="B11" s="3">
        <v>560</v>
      </c>
      <c r="C11" s="2" t="s">
        <v>8</v>
      </c>
      <c r="D11" s="13">
        <f t="shared" si="0"/>
        <v>5.6000000000000004E-7</v>
      </c>
      <c r="E11" s="17">
        <f>I2/D11</f>
        <v>535357142857142.81</v>
      </c>
      <c r="F11" s="22">
        <f>I3*E11</f>
        <v>3.5472764285714283E-19</v>
      </c>
    </row>
    <row r="12" spans="2:9">
      <c r="B12" s="3">
        <v>580</v>
      </c>
      <c r="C12" s="2" t="s">
        <v>9</v>
      </c>
      <c r="D12" s="13">
        <f t="shared" si="0"/>
        <v>5.8000000000000006E-7</v>
      </c>
      <c r="E12" s="17">
        <f>I2/D12</f>
        <v>516896551724137.88</v>
      </c>
      <c r="F12" s="22">
        <f>I3*E12</f>
        <v>3.4249565517241375E-19</v>
      </c>
    </row>
    <row r="13" spans="2:9">
      <c r="B13" s="3">
        <v>600</v>
      </c>
      <c r="C13" s="2" t="s">
        <v>10</v>
      </c>
      <c r="D13" s="13">
        <f t="shared" si="0"/>
        <v>6.0000000000000008E-7</v>
      </c>
      <c r="E13" s="17">
        <f>I2/D13</f>
        <v>499666666666666.62</v>
      </c>
      <c r="F13" s="22">
        <f>I3*E13</f>
        <v>3.3107913333333328E-19</v>
      </c>
    </row>
    <row r="14" spans="2:9">
      <c r="B14" s="3">
        <v>620</v>
      </c>
      <c r="C14" s="2" t="s">
        <v>11</v>
      </c>
      <c r="D14" s="13">
        <f t="shared" si="0"/>
        <v>6.1999999999999999E-7</v>
      </c>
      <c r="E14" s="17">
        <f>I2/D14</f>
        <v>483548387096774.19</v>
      </c>
      <c r="F14" s="22">
        <f>I3*E14</f>
        <v>3.2039916129032258E-19</v>
      </c>
    </row>
    <row r="15" spans="2:9">
      <c r="B15" s="3">
        <v>640</v>
      </c>
      <c r="C15" s="2" t="s">
        <v>11</v>
      </c>
      <c r="D15" s="13">
        <f t="shared" si="0"/>
        <v>6.4000000000000001E-7</v>
      </c>
      <c r="E15" s="17">
        <f>I2/D15</f>
        <v>468437500000000</v>
      </c>
      <c r="F15" s="22">
        <f>I3*E15</f>
        <v>3.103866875E-19</v>
      </c>
    </row>
    <row r="16" spans="2:9">
      <c r="B16" s="3">
        <v>660</v>
      </c>
      <c r="C16" s="2" t="s">
        <v>11</v>
      </c>
      <c r="D16" s="13">
        <f t="shared" si="0"/>
        <v>6.6000000000000003E-7</v>
      </c>
      <c r="E16" s="17">
        <f>I2/D16</f>
        <v>454242424242424.25</v>
      </c>
      <c r="F16" s="22">
        <f>I3*E16</f>
        <v>3.009810303030303E-19</v>
      </c>
    </row>
    <row r="17" spans="2:6">
      <c r="B17" s="3">
        <v>680</v>
      </c>
      <c r="C17" s="2" t="s">
        <v>11</v>
      </c>
      <c r="D17" s="13">
        <f t="shared" si="0"/>
        <v>6.8000000000000005E-7</v>
      </c>
      <c r="E17" s="17">
        <f>I2/D17</f>
        <v>440882352941176.44</v>
      </c>
      <c r="F17" s="22">
        <f>I3*E17</f>
        <v>2.9212864705882352E-19</v>
      </c>
    </row>
    <row r="18" spans="2:6" ht="24" thickBot="1">
      <c r="B18" s="5">
        <v>700</v>
      </c>
      <c r="C18" s="6" t="s">
        <v>12</v>
      </c>
      <c r="D18" s="14">
        <f t="shared" si="0"/>
        <v>7.0000000000000007E-7</v>
      </c>
      <c r="E18" s="18">
        <f>I2/D18</f>
        <v>428285714285714.25</v>
      </c>
      <c r="F18" s="23">
        <f>I3*E18</f>
        <v>2.8378211428571424E-19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6A96-6551-1D42-BA25-AE7FEF11A4AB}">
  <dimension ref="B1:E9"/>
  <sheetViews>
    <sheetView workbookViewId="0">
      <selection activeCell="D3" sqref="D3"/>
    </sheetView>
  </sheetViews>
  <sheetFormatPr baseColWidth="10" defaultRowHeight="23"/>
  <cols>
    <col min="1" max="1" width="10.83203125" style="1"/>
    <col min="2" max="2" width="13.83203125" style="1" bestFit="1" customWidth="1"/>
    <col min="3" max="3" width="17.83203125" style="1" bestFit="1" customWidth="1"/>
    <col min="4" max="4" width="42.6640625" style="1" bestFit="1" customWidth="1"/>
    <col min="5" max="5" width="33.6640625" style="1" bestFit="1" customWidth="1"/>
    <col min="6" max="16384" width="10.83203125" style="1"/>
  </cols>
  <sheetData>
    <row r="1" spans="2:5" ht="24" thickBot="1"/>
    <row r="2" spans="2:5" ht="24" thickBot="1">
      <c r="B2" s="12" t="s">
        <v>15</v>
      </c>
      <c r="C2" s="12" t="s">
        <v>16</v>
      </c>
      <c r="D2" s="12" t="s">
        <v>25</v>
      </c>
      <c r="E2" s="12" t="s">
        <v>26</v>
      </c>
    </row>
    <row r="3" spans="2:5">
      <c r="B3" s="8" t="s">
        <v>17</v>
      </c>
      <c r="C3" s="10" t="s">
        <v>11</v>
      </c>
      <c r="D3" s="10">
        <v>670</v>
      </c>
      <c r="E3" s="19">
        <v>2.9640000000000002E-19</v>
      </c>
    </row>
    <row r="4" spans="2:5">
      <c r="B4" s="3" t="s">
        <v>18</v>
      </c>
      <c r="C4" s="2" t="s">
        <v>10</v>
      </c>
      <c r="D4" s="2">
        <v>600</v>
      </c>
      <c r="E4" s="20">
        <v>3.3100000000000001E-19</v>
      </c>
    </row>
    <row r="5" spans="2:5">
      <c r="B5" s="3" t="s">
        <v>19</v>
      </c>
      <c r="C5" s="2" t="s">
        <v>12</v>
      </c>
      <c r="D5" s="2">
        <v>700</v>
      </c>
      <c r="E5" s="20">
        <v>2.8369999999999998E-19</v>
      </c>
    </row>
    <row r="6" spans="2:5">
      <c r="B6" s="3" t="s">
        <v>20</v>
      </c>
      <c r="C6" s="2" t="s">
        <v>24</v>
      </c>
      <c r="D6" s="2">
        <v>560</v>
      </c>
      <c r="E6" s="20">
        <v>3.5460000000000002E-19</v>
      </c>
    </row>
    <row r="7" spans="2:5">
      <c r="B7" s="3" t="s">
        <v>21</v>
      </c>
      <c r="C7" s="2" t="s">
        <v>7</v>
      </c>
      <c r="D7" s="2">
        <v>500</v>
      </c>
      <c r="E7" s="20">
        <v>3.9719999999999999E-19</v>
      </c>
    </row>
    <row r="8" spans="2:5">
      <c r="B8" s="3" t="s">
        <v>22</v>
      </c>
      <c r="C8" s="2" t="s">
        <v>10</v>
      </c>
      <c r="D8" s="2">
        <v>600</v>
      </c>
      <c r="E8" s="20">
        <v>3.3100000000000001E-19</v>
      </c>
    </row>
    <row r="9" spans="2:5" ht="24" thickBot="1">
      <c r="B9" s="5" t="s">
        <v>23</v>
      </c>
      <c r="C9" s="6" t="s">
        <v>11</v>
      </c>
      <c r="D9" s="6">
        <v>700</v>
      </c>
      <c r="E9" s="24">
        <v>2.8369999999999998E-19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6EF3-21B8-EB48-A193-71C869731150}">
  <dimension ref="B1:D21"/>
  <sheetViews>
    <sheetView workbookViewId="0">
      <selection activeCell="F15" sqref="F15"/>
    </sheetView>
  </sheetViews>
  <sheetFormatPr baseColWidth="10" defaultRowHeight="23"/>
  <cols>
    <col min="1" max="1" width="10.83203125" style="1"/>
    <col min="2" max="2" width="18.6640625" style="1" bestFit="1" customWidth="1"/>
    <col min="3" max="3" width="23.33203125" style="1" bestFit="1" customWidth="1"/>
    <col min="4" max="4" width="30.1640625" style="1" bestFit="1" customWidth="1"/>
    <col min="5" max="16384" width="10.83203125" style="1"/>
  </cols>
  <sheetData>
    <row r="1" spans="2:4" ht="24" thickBot="1"/>
    <row r="2" spans="2:4" ht="24" thickBot="1">
      <c r="B2" s="25" t="s">
        <v>27</v>
      </c>
      <c r="C2" s="26"/>
    </row>
    <row r="3" spans="2:4" ht="24" thickBot="1">
      <c r="B3" s="9" t="s">
        <v>1</v>
      </c>
      <c r="C3" s="9" t="s">
        <v>0</v>
      </c>
      <c r="D3" s="28"/>
    </row>
    <row r="4" spans="2:4">
      <c r="B4" s="8" t="s">
        <v>11</v>
      </c>
      <c r="C4" s="11">
        <v>670</v>
      </c>
      <c r="D4" s="28"/>
    </row>
    <row r="5" spans="2:4">
      <c r="B5" s="3" t="s">
        <v>7</v>
      </c>
      <c r="C5" s="4">
        <v>500</v>
      </c>
      <c r="D5" s="28"/>
    </row>
    <row r="6" spans="2:4" ht="24" thickBot="1">
      <c r="B6" s="5" t="s">
        <v>5</v>
      </c>
      <c r="C6" s="7">
        <v>450</v>
      </c>
      <c r="D6" s="28"/>
    </row>
    <row r="7" spans="2:4">
      <c r="B7" s="28"/>
      <c r="C7" s="28"/>
      <c r="D7" s="28"/>
    </row>
    <row r="8" spans="2:4">
      <c r="B8" s="28"/>
      <c r="C8" s="28"/>
      <c r="D8" s="28"/>
    </row>
    <row r="9" spans="2:4" ht="24" thickBot="1"/>
    <row r="10" spans="2:4" ht="24" thickBot="1">
      <c r="B10" s="25" t="s">
        <v>28</v>
      </c>
      <c r="C10" s="27"/>
      <c r="D10" s="26"/>
    </row>
    <row r="11" spans="2:4" ht="24" thickBot="1">
      <c r="B11" s="9" t="s">
        <v>1</v>
      </c>
      <c r="C11" s="9" t="s">
        <v>0</v>
      </c>
      <c r="D11" s="9" t="s">
        <v>29</v>
      </c>
    </row>
    <row r="12" spans="2:4">
      <c r="B12" s="8" t="s">
        <v>5</v>
      </c>
      <c r="C12" s="10">
        <v>450</v>
      </c>
      <c r="D12" s="11">
        <v>410</v>
      </c>
    </row>
    <row r="13" spans="2:4">
      <c r="B13" s="3" t="s">
        <v>7</v>
      </c>
      <c r="C13" s="2">
        <v>560</v>
      </c>
      <c r="D13" s="4">
        <v>447.4</v>
      </c>
    </row>
    <row r="14" spans="2:4" ht="24" thickBot="1">
      <c r="B14" s="5" t="s">
        <v>10</v>
      </c>
      <c r="C14" s="6">
        <v>600</v>
      </c>
      <c r="D14" s="7">
        <v>461</v>
      </c>
    </row>
    <row r="15" spans="2:4">
      <c r="B15" s="28"/>
      <c r="C15" s="28"/>
      <c r="D15" s="28"/>
    </row>
    <row r="16" spans="2:4">
      <c r="B16" s="28"/>
      <c r="C16" s="28"/>
      <c r="D16" s="28"/>
    </row>
    <row r="17" spans="2:4" ht="24" thickBot="1"/>
    <row r="18" spans="2:4" ht="24" thickBot="1">
      <c r="B18" s="9" t="s">
        <v>1</v>
      </c>
      <c r="C18" s="9" t="s">
        <v>31</v>
      </c>
      <c r="D18" s="9" t="s">
        <v>30</v>
      </c>
    </row>
    <row r="19" spans="2:4">
      <c r="B19" s="8" t="s">
        <v>5</v>
      </c>
      <c r="C19" s="10">
        <v>450</v>
      </c>
      <c r="D19" s="11">
        <v>410</v>
      </c>
    </row>
    <row r="20" spans="2:4">
      <c r="B20" s="3" t="s">
        <v>7</v>
      </c>
      <c r="C20" s="2">
        <v>500</v>
      </c>
      <c r="D20" s="4">
        <v>434</v>
      </c>
    </row>
    <row r="21" spans="2:4" ht="24" thickBot="1">
      <c r="B21" s="5" t="s">
        <v>11</v>
      </c>
      <c r="C21" s="6">
        <v>670</v>
      </c>
      <c r="D21" s="7">
        <v>486</v>
      </c>
    </row>
  </sheetData>
  <mergeCells count="2">
    <mergeCell ref="B2:C2"/>
    <mergeCell ref="B10:D1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Exercise 1 Data</vt:lpstr>
      <vt:lpstr>Exercise 2 Data</vt:lpstr>
      <vt:lpstr>Exercise 3 Data</vt:lpstr>
      <vt:lpstr>Exercise 3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2021-09-26T20:49:45Z</cp:lastPrinted>
  <dcterms:created xsi:type="dcterms:W3CDTF">2021-09-26T18:35:23Z</dcterms:created>
  <dcterms:modified xsi:type="dcterms:W3CDTF">2021-09-26T20:51:36Z</dcterms:modified>
</cp:coreProperties>
</file>