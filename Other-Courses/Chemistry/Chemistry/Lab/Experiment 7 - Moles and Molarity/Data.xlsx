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esktop/Chemistry/Lab/Experiment 7 - Moles and Molarity/"/>
    </mc:Choice>
  </mc:AlternateContent>
  <xr:revisionPtr revIDLastSave="0" documentId="13_ncr:1_{9046FED3-0283-3C4B-A391-F9D20434533A}" xr6:coauthVersionLast="47" xr6:coauthVersionMax="47" xr10:uidLastSave="{00000000-0000-0000-0000-000000000000}"/>
  <bookViews>
    <workbookView xWindow="0" yWindow="500" windowWidth="35840" windowHeight="20020" xr2:uid="{FF201E9D-3B9C-A345-ABBD-036FED72E431}"/>
  </bookViews>
  <sheets>
    <sheet name="Data" sheetId="1" r:id="rId1"/>
    <sheet name="Chart1" sheetId="2" r:id="rId2"/>
  </sheets>
  <definedNames>
    <definedName name="_xlchart.v1.0" hidden="1">Data!$F$3:$F$11</definedName>
    <definedName name="_xlchart.v1.1" hidden="1">Data!$F$3:$F$7</definedName>
    <definedName name="_xlchart.v1.10" hidden="1">Data!$F$3:$F$7</definedName>
    <definedName name="_xlchart.v1.11" hidden="1">Data!$F$8:$F$11</definedName>
    <definedName name="_xlchart.v1.12" hidden="1">Data!$I$3:$I$7</definedName>
    <definedName name="_xlchart.v1.13" hidden="1">Data!$I$8:$I$11</definedName>
    <definedName name="_xlchart.v1.14" hidden="1">Data!$F$3:$F$7</definedName>
    <definedName name="_xlchart.v1.15" hidden="1">Data!$F$8:$F$11</definedName>
    <definedName name="_xlchart.v1.16" hidden="1">Data!$I$3:$I$7</definedName>
    <definedName name="_xlchart.v1.17" hidden="1">Data!$I$8:$I$11</definedName>
    <definedName name="_xlchart.v1.18" hidden="1">Data!$F$3:$F$7</definedName>
    <definedName name="_xlchart.v1.19" hidden="1">Data!$F$8:$F$11</definedName>
    <definedName name="_xlchart.v1.2" hidden="1">Data!$F$8:$F$11</definedName>
    <definedName name="_xlchart.v1.20" hidden="1">Data!$I$3:$I$7</definedName>
    <definedName name="_xlchart.v1.21" hidden="1">Data!$I$8:$I$11</definedName>
    <definedName name="_xlchart.v1.22" hidden="1">Data!$F$3:$F$7</definedName>
    <definedName name="_xlchart.v1.23" hidden="1">Data!$F$8:$F$11</definedName>
    <definedName name="_xlchart.v1.24" hidden="1">Data!$I$3:$I$7</definedName>
    <definedName name="_xlchart.v1.25" hidden="1">Data!$I$8:$I$11</definedName>
    <definedName name="_xlchart.v1.26" hidden="1">Data!$F$3:$F$7</definedName>
    <definedName name="_xlchart.v1.27" hidden="1">Data!$F$8:$F$11</definedName>
    <definedName name="_xlchart.v1.28" hidden="1">Data!$I$3:$I$7</definedName>
    <definedName name="_xlchart.v1.29" hidden="1">Data!$I$8:$I$11</definedName>
    <definedName name="_xlchart.v1.3" hidden="1">Data!$I$3:$I$11</definedName>
    <definedName name="_xlchart.v1.30" hidden="1">Data!$F$3:$F$7</definedName>
    <definedName name="_xlchart.v1.31" hidden="1">Data!$F$8:$F$11</definedName>
    <definedName name="_xlchart.v1.32" hidden="1">Data!$I$3:$I$7</definedName>
    <definedName name="_xlchart.v1.33" hidden="1">Data!$I$8:$I$11</definedName>
    <definedName name="_xlchart.v1.4" hidden="1">Data!$I$3:$I$7</definedName>
    <definedName name="_xlchart.v1.5" hidden="1">Data!$I$8:$I$11</definedName>
    <definedName name="_xlchart.v1.6" hidden="1">Data!$F$3:$F$7</definedName>
    <definedName name="_xlchart.v1.7" hidden="1">Data!$F$8:$F$11</definedName>
    <definedName name="_xlchart.v1.8" hidden="1">Data!$I$3:$I$7</definedName>
    <definedName name="_xlchart.v1.9" hidden="1">Data!$I$8:$I$11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I8" i="1" s="1"/>
  <c r="H9" i="1"/>
  <c r="H10" i="1"/>
  <c r="H11" i="1"/>
  <c r="I11" i="1" s="1"/>
  <c r="H3" i="1"/>
  <c r="G3" i="1"/>
  <c r="J3" i="1" s="1"/>
  <c r="G4" i="1"/>
  <c r="J4" i="1" s="1"/>
  <c r="G5" i="1"/>
  <c r="G6" i="1"/>
  <c r="G7" i="1"/>
  <c r="G8" i="1"/>
  <c r="G9" i="1"/>
  <c r="G10" i="1"/>
  <c r="G11" i="1"/>
  <c r="F11" i="1"/>
  <c r="F4" i="1"/>
  <c r="F5" i="1"/>
  <c r="F6" i="1"/>
  <c r="F7" i="1"/>
  <c r="F8" i="1"/>
  <c r="F9" i="1"/>
  <c r="F10" i="1"/>
  <c r="F3" i="1"/>
  <c r="I9" i="1" l="1"/>
  <c r="J5" i="1"/>
  <c r="I7" i="1"/>
  <c r="I6" i="1"/>
  <c r="J7" i="1"/>
  <c r="I3" i="1"/>
  <c r="J11" i="1"/>
  <c r="I10" i="1"/>
  <c r="J9" i="1"/>
  <c r="J8" i="1"/>
  <c r="J6" i="1"/>
  <c r="I4" i="1"/>
  <c r="J10" i="1"/>
  <c r="I5" i="1"/>
</calcChain>
</file>

<file path=xl/sharedStrings.xml><?xml version="1.0" encoding="utf-8"?>
<sst xmlns="http://schemas.openxmlformats.org/spreadsheetml/2006/main" count="9" uniqueCount="9">
  <si>
    <t>Test Tube #</t>
  </si>
  <si>
    <t>%T</t>
  </si>
  <si>
    <t>Absorbance</t>
  </si>
  <si>
    <t>Moles SSA</t>
  </si>
  <si>
    <t>X (SSA)</t>
  </si>
  <si>
    <t>Moles Fe3+</t>
  </si>
  <si>
    <t>mL Fe(III) Stock Solutions</t>
  </si>
  <si>
    <t>mL SSA Stock Solution</t>
  </si>
  <si>
    <t>X [Fe(III)]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</si>
</sst>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E+00"/>
  </numFmts>
  <fonts count="2">
    <font>
      <sz val="12"/>
      <color theme="1"/>
      <name val="TimesNewRomanPSMT"/>
      <family val="2"/>
    </font>
    <font>
      <sz val="20"/>
      <color theme="1"/>
      <name val="TimesNewRomanPS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1" fontId="1" fillId="0" borderId="4" xfId="0" applyNumberFormat="1" applyFont="1" applyBorder="1" applyAlignment="1">
      <alignment horizontal="center" vertical="center"/>
    </xf>
    <xf numFmtId="11" fontId="1" fillId="0" borderId="2" xfId="0" applyNumberFormat="1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1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Absorbance</a:t>
            </a:r>
            <a:r>
              <a:rPr lang="en-US" sz="1600" baseline="0">
                <a:solidFill>
                  <a:schemeClr val="tx1"/>
                </a:solidFill>
              </a:rPr>
              <a:t> vs. Mole Fraction SSA</a:t>
            </a:r>
            <a:endParaRPr lang="en-US" sz="16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Negative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0"/>
            <c:dispEq val="1"/>
            <c:trendlineLbl>
              <c:layout>
                <c:manualLayout>
                  <c:x val="-9.5709164421323767E-2"/>
                  <c:y val="-0.121866084604131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Data!$I$3:$I$7</c:f>
              <c:numCache>
                <c:formatCode>0.000</c:formatCode>
                <c:ptCount val="5"/>
                <c:pt idx="0">
                  <c:v>0.903169014084507</c:v>
                </c:pt>
                <c:pt idx="1">
                  <c:v>0.80565371024734977</c:v>
                </c:pt>
                <c:pt idx="2">
                  <c:v>0.70744680851063835</c:v>
                </c:pt>
                <c:pt idx="3">
                  <c:v>0.60854092526690384</c:v>
                </c:pt>
                <c:pt idx="4">
                  <c:v>0.5089285714285714</c:v>
                </c:pt>
              </c:numCache>
            </c:numRef>
          </c:xVal>
          <c:yVal>
            <c:numRef>
              <c:f>Data!$F$3:$F$7</c:f>
              <c:numCache>
                <c:formatCode>0.000</c:formatCode>
                <c:ptCount val="5"/>
                <c:pt idx="0">
                  <c:v>0.27572413039921106</c:v>
                </c:pt>
                <c:pt idx="1">
                  <c:v>0.52287874528033762</c:v>
                </c:pt>
                <c:pt idx="2">
                  <c:v>0.68613277963084651</c:v>
                </c:pt>
                <c:pt idx="3">
                  <c:v>0.74957999769110595</c:v>
                </c:pt>
                <c:pt idx="4">
                  <c:v>0.76955107862172611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BF-AE40-AD56-F00069BAD8C4}"/>
            </c:ext>
          </c:extLst>
        </c:ser>
        <c:ser>
          <c:idx val="1"/>
          <c:order val="1"/>
          <c:tx>
            <c:v>Positive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15000000000000002"/>
            <c:backward val="0.1"/>
            <c:dispRSqr val="0"/>
            <c:dispEq val="1"/>
            <c:trendlineLbl>
              <c:layout>
                <c:manualLayout>
                  <c:x val="-0.13434319701721517"/>
                  <c:y val="0.495943954384965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Data!$I$8:$I$11</c:f>
              <c:numCache>
                <c:formatCode>0.000</c:formatCode>
                <c:ptCount val="4"/>
                <c:pt idx="0">
                  <c:v>0.40860215053763443</c:v>
                </c:pt>
                <c:pt idx="1">
                  <c:v>0.3075539568345324</c:v>
                </c:pt>
                <c:pt idx="2">
                  <c:v>0.20577617328519854</c:v>
                </c:pt>
                <c:pt idx="3">
                  <c:v>0.10326086956521741</c:v>
                </c:pt>
              </c:numCache>
            </c:numRef>
          </c:xVal>
          <c:yVal>
            <c:numRef>
              <c:f>Data!$F$8:$F$11</c:f>
              <c:numCache>
                <c:formatCode>0.000</c:formatCode>
                <c:ptCount val="4"/>
                <c:pt idx="0">
                  <c:v>0.70774392864352387</c:v>
                </c:pt>
                <c:pt idx="1">
                  <c:v>0.57839607313016894</c:v>
                </c:pt>
                <c:pt idx="2">
                  <c:v>0.44611697335612566</c:v>
                </c:pt>
                <c:pt idx="3">
                  <c:v>0.22475374025976347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BF-AE40-AD56-F00069BAD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564431"/>
        <c:axId val="474566079"/>
      </c:scatterChart>
      <c:valAx>
        <c:axId val="47456443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Mole Fraction SSA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66079"/>
        <c:crosses val="autoZero"/>
        <c:crossBetween val="midCat"/>
      </c:valAx>
      <c:valAx>
        <c:axId val="47456607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64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68AE1B-F897-7748-9035-15855A6715A5}">
  <sheetPr/>
  <sheetViews>
    <sheetView zoomScale="150" workbookViewId="0"/>
  </sheetViews>
  <pageMargins left="0.7" right="0.7" top="0.75" bottom="0.75" header="0.3" footer="0.3"/>
  <pageSetup orientation="landscape" horizontalDpi="0" verticalDpi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36BF2E-1700-3E46-AB09-066AE7DCA87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983C-2237-AB45-A857-8B8AAD6D0AB0}">
  <dimension ref="B1:J11"/>
  <sheetViews>
    <sheetView tabSelected="1" zoomScale="136" zoomScaleNormal="136" workbookViewId="0">
      <selection activeCell="F3" sqref="F3:F7"/>
    </sheetView>
  </sheetViews>
  <sheetFormatPr baseColWidth="10" defaultColWidth="19.83203125" defaultRowHeight="25"/>
  <cols>
    <col min="1" max="1" width="9.5" style="1" customWidth="1"/>
    <col min="2" max="2" width="17.6640625" style="1" bestFit="1" customWidth="1"/>
    <col min="3" max="3" width="39.1640625" style="1" bestFit="1" customWidth="1"/>
    <col min="4" max="4" width="34.5" style="1" bestFit="1" customWidth="1"/>
    <col min="5" max="5" width="9.33203125" style="1" customWidth="1"/>
    <col min="6" max="6" width="17.6640625" style="1" bestFit="1" customWidth="1"/>
    <col min="7" max="7" width="17.83203125" style="1" bestFit="1" customWidth="1"/>
    <col min="8" max="8" width="18.33203125" style="1" bestFit="1" customWidth="1"/>
    <col min="9" max="9" width="16.1640625" style="1" bestFit="1" customWidth="1"/>
    <col min="10" max="10" width="17.1640625" style="1" bestFit="1" customWidth="1"/>
    <col min="11" max="16384" width="19.83203125" style="1"/>
  </cols>
  <sheetData>
    <row r="1" spans="2:10" ht="26" thickBot="1"/>
    <row r="2" spans="2:10" ht="26" thickBot="1">
      <c r="B2" s="2" t="s">
        <v>0</v>
      </c>
      <c r="C2" s="2" t="s">
        <v>6</v>
      </c>
      <c r="D2" s="2" t="s">
        <v>7</v>
      </c>
      <c r="E2" s="2" t="s">
        <v>1</v>
      </c>
      <c r="F2" s="2" t="s">
        <v>2</v>
      </c>
      <c r="G2" s="2" t="s">
        <v>5</v>
      </c>
      <c r="H2" s="2" t="s">
        <v>3</v>
      </c>
      <c r="I2" s="2" t="s">
        <v>4</v>
      </c>
      <c r="J2" s="2" t="s">
        <v>8</v>
      </c>
    </row>
    <row r="3" spans="2:10">
      <c r="B3" s="7">
        <v>1</v>
      </c>
      <c r="C3" s="8">
        <v>1</v>
      </c>
      <c r="D3" s="8">
        <v>9</v>
      </c>
      <c r="E3" s="11">
        <v>53</v>
      </c>
      <c r="F3" s="14">
        <f>2-LOG10(E3)</f>
        <v>0.27572413039921106</v>
      </c>
      <c r="G3" s="15">
        <f t="shared" ref="G3:G11" si="0">(C3/1000)*0.00165</f>
        <v>1.6500000000000001E-6</v>
      </c>
      <c r="H3" s="19">
        <f>(D3/1000)*0.00171</f>
        <v>1.5389999999999997E-5</v>
      </c>
      <c r="I3" s="14">
        <f>(H3)/(G3+H3)</f>
        <v>0.903169014084507</v>
      </c>
      <c r="J3" s="14">
        <f>(G3)/(G3+H3)</f>
        <v>9.6830985915492981E-2</v>
      </c>
    </row>
    <row r="4" spans="2:10">
      <c r="B4" s="3">
        <v>2</v>
      </c>
      <c r="C4" s="9">
        <v>2</v>
      </c>
      <c r="D4" s="9">
        <v>8</v>
      </c>
      <c r="E4" s="12">
        <v>30</v>
      </c>
      <c r="F4" s="5">
        <f t="shared" ref="F4:F10" si="1">2-LOG10(E4)</f>
        <v>0.52287874528033762</v>
      </c>
      <c r="G4" s="16">
        <f t="shared" si="0"/>
        <v>3.3000000000000002E-6</v>
      </c>
      <c r="H4" s="17">
        <f t="shared" ref="H4:H11" si="2">(D4/1000)*0.00171</f>
        <v>1.3679999999999999E-5</v>
      </c>
      <c r="I4" s="5">
        <f>(H4)/(G4+H4)</f>
        <v>0.80565371024734977</v>
      </c>
      <c r="J4" s="5">
        <f t="shared" ref="J4:J11" si="3">(G4)/(G4+H4)</f>
        <v>0.1943462897526502</v>
      </c>
    </row>
    <row r="5" spans="2:10">
      <c r="B5" s="3">
        <v>3</v>
      </c>
      <c r="C5" s="9">
        <v>3</v>
      </c>
      <c r="D5" s="9">
        <v>7</v>
      </c>
      <c r="E5" s="12">
        <v>20.6</v>
      </c>
      <c r="F5" s="5">
        <f t="shared" si="1"/>
        <v>0.68613277963084651</v>
      </c>
      <c r="G5" s="16">
        <f t="shared" si="0"/>
        <v>4.95E-6</v>
      </c>
      <c r="H5" s="16">
        <f t="shared" si="2"/>
        <v>1.1970000000000001E-5</v>
      </c>
      <c r="I5" s="5">
        <f>(H5)/(G5+H5)</f>
        <v>0.70744680851063835</v>
      </c>
      <c r="J5" s="5">
        <f t="shared" si="3"/>
        <v>0.29255319148936171</v>
      </c>
    </row>
    <row r="6" spans="2:10">
      <c r="B6" s="3">
        <v>4</v>
      </c>
      <c r="C6" s="9">
        <v>4</v>
      </c>
      <c r="D6" s="9">
        <v>6</v>
      </c>
      <c r="E6" s="12">
        <v>17.8</v>
      </c>
      <c r="F6" s="5">
        <f t="shared" si="1"/>
        <v>0.74957999769110595</v>
      </c>
      <c r="G6" s="16">
        <f t="shared" si="0"/>
        <v>6.6000000000000003E-6</v>
      </c>
      <c r="H6" s="17">
        <f t="shared" si="2"/>
        <v>1.026E-5</v>
      </c>
      <c r="I6" s="5">
        <f t="shared" ref="I6:I11" si="4">(H6)/(G6+H6)</f>
        <v>0.60854092526690384</v>
      </c>
      <c r="J6" s="5">
        <f t="shared" si="3"/>
        <v>0.3914590747330961</v>
      </c>
    </row>
    <row r="7" spans="2:10">
      <c r="B7" s="3">
        <v>5</v>
      </c>
      <c r="C7" s="9">
        <v>5</v>
      </c>
      <c r="D7" s="9">
        <v>5</v>
      </c>
      <c r="E7" s="12">
        <v>17</v>
      </c>
      <c r="F7" s="5">
        <f t="shared" si="1"/>
        <v>0.76955107862172611</v>
      </c>
      <c r="G7" s="16">
        <f t="shared" si="0"/>
        <v>8.2500000000000006E-6</v>
      </c>
      <c r="H7" s="16">
        <f t="shared" si="2"/>
        <v>8.5499999999999995E-6</v>
      </c>
      <c r="I7" s="5">
        <f t="shared" si="4"/>
        <v>0.5089285714285714</v>
      </c>
      <c r="J7" s="5">
        <f t="shared" si="3"/>
        <v>0.49107142857142855</v>
      </c>
    </row>
    <row r="8" spans="2:10">
      <c r="B8" s="3">
        <v>6</v>
      </c>
      <c r="C8" s="9">
        <v>6</v>
      </c>
      <c r="D8" s="9">
        <v>4</v>
      </c>
      <c r="E8" s="12">
        <v>19.600000000000001</v>
      </c>
      <c r="F8" s="5">
        <f t="shared" si="1"/>
        <v>0.70774392864352387</v>
      </c>
      <c r="G8" s="16">
        <f t="shared" si="0"/>
        <v>9.9000000000000001E-6</v>
      </c>
      <c r="H8" s="16">
        <f t="shared" si="2"/>
        <v>6.8399999999999997E-6</v>
      </c>
      <c r="I8" s="5">
        <f t="shared" si="4"/>
        <v>0.40860215053763443</v>
      </c>
      <c r="J8" s="5">
        <f t="shared" si="3"/>
        <v>0.59139784946236562</v>
      </c>
    </row>
    <row r="9" spans="2:10">
      <c r="B9" s="3">
        <v>7</v>
      </c>
      <c r="C9" s="9">
        <v>7</v>
      </c>
      <c r="D9" s="9">
        <v>3</v>
      </c>
      <c r="E9" s="12">
        <v>26.4</v>
      </c>
      <c r="F9" s="5">
        <f t="shared" si="1"/>
        <v>0.57839607313016894</v>
      </c>
      <c r="G9" s="17">
        <f t="shared" si="0"/>
        <v>1.155E-5</v>
      </c>
      <c r="H9" s="16">
        <f t="shared" si="2"/>
        <v>5.13E-6</v>
      </c>
      <c r="I9" s="5">
        <f t="shared" si="4"/>
        <v>0.3075539568345324</v>
      </c>
      <c r="J9" s="5">
        <f t="shared" si="3"/>
        <v>0.69244604316546765</v>
      </c>
    </row>
    <row r="10" spans="2:10">
      <c r="B10" s="3">
        <v>8</v>
      </c>
      <c r="C10" s="9">
        <v>8</v>
      </c>
      <c r="D10" s="9">
        <v>2</v>
      </c>
      <c r="E10" s="12">
        <v>35.799999999999997</v>
      </c>
      <c r="F10" s="5">
        <f t="shared" si="1"/>
        <v>0.44611697335612566</v>
      </c>
      <c r="G10" s="16">
        <f t="shared" si="0"/>
        <v>1.3200000000000001E-5</v>
      </c>
      <c r="H10" s="16">
        <f t="shared" si="2"/>
        <v>3.4199999999999999E-6</v>
      </c>
      <c r="I10" s="5">
        <f t="shared" si="4"/>
        <v>0.20577617328519854</v>
      </c>
      <c r="J10" s="5">
        <f t="shared" si="3"/>
        <v>0.79422382671480152</v>
      </c>
    </row>
    <row r="11" spans="2:10" ht="26" thickBot="1">
      <c r="B11" s="4">
        <v>9</v>
      </c>
      <c r="C11" s="10">
        <v>9</v>
      </c>
      <c r="D11" s="10">
        <v>1</v>
      </c>
      <c r="E11" s="13">
        <v>59.6</v>
      </c>
      <c r="F11" s="6">
        <f>2-LOG10(E11)</f>
        <v>0.22475374025976347</v>
      </c>
      <c r="G11" s="18">
        <f t="shared" si="0"/>
        <v>1.4849999999999998E-5</v>
      </c>
      <c r="H11" s="20">
        <f t="shared" si="2"/>
        <v>1.7099999999999999E-6</v>
      </c>
      <c r="I11" s="6">
        <f t="shared" si="4"/>
        <v>0.10326086956521741</v>
      </c>
      <c r="J11" s="6">
        <f t="shared" si="3"/>
        <v>0.89673913043478271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2021-10-28T18:50:10Z</cp:lastPrinted>
  <dcterms:created xsi:type="dcterms:W3CDTF">2021-10-24T21:22:56Z</dcterms:created>
  <dcterms:modified xsi:type="dcterms:W3CDTF">2021-10-28T21:42:16Z</dcterms:modified>
</cp:coreProperties>
</file>