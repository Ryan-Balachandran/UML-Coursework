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balachandran/Desktop/Chemistry/Lab/Experiment 2/"/>
    </mc:Choice>
  </mc:AlternateContent>
  <xr:revisionPtr revIDLastSave="0" documentId="13_ncr:1_{08600970-FBAE-1840-B69B-714B3A4C4799}" xr6:coauthVersionLast="47" xr6:coauthVersionMax="47" xr10:uidLastSave="{00000000-0000-0000-0000-000000000000}"/>
  <bookViews>
    <workbookView xWindow="0" yWindow="500" windowWidth="35840" windowHeight="20020" xr2:uid="{97EF596C-7365-3E40-9B47-69849A7D7A0A}"/>
  </bookViews>
  <sheets>
    <sheet name="Data" sheetId="1" r:id="rId1"/>
    <sheet name="Graph data" sheetId="2" r:id="rId2"/>
    <sheet name="Mass vs. Volume Grap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" i="1" l="1"/>
  <c r="I17" i="1"/>
  <c r="I16" i="1"/>
  <c r="I15" i="1"/>
  <c r="I14" i="1"/>
  <c r="H18" i="1"/>
  <c r="H17" i="1"/>
  <c r="H16" i="1"/>
  <c r="H15" i="1"/>
  <c r="H14" i="1"/>
  <c r="J5" i="1"/>
  <c r="H4" i="1"/>
  <c r="H5" i="1" s="1"/>
  <c r="H3" i="1"/>
  <c r="I4" i="1"/>
  <c r="J4" i="1"/>
  <c r="J3" i="1"/>
  <c r="I3" i="1"/>
  <c r="H6" i="1" l="1"/>
  <c r="I5" i="1"/>
  <c r="I7" i="1" l="1"/>
  <c r="H8" i="1" s="1"/>
  <c r="H9" i="1" s="1"/>
  <c r="J7" i="1"/>
  <c r="H7" i="1"/>
</calcChain>
</file>

<file path=xl/sharedStrings.xml><?xml version="1.0" encoding="utf-8"?>
<sst xmlns="http://schemas.openxmlformats.org/spreadsheetml/2006/main" count="46" uniqueCount="33">
  <si>
    <t>Trial 1</t>
  </si>
  <si>
    <t>Trial 2</t>
  </si>
  <si>
    <t>Trial 3</t>
  </si>
  <si>
    <t>Unknown Liquid</t>
  </si>
  <si>
    <t>Unknown Solid #318</t>
  </si>
  <si>
    <t>2. Unknown Code</t>
  </si>
  <si>
    <t>a. After first addition of unknown</t>
  </si>
  <si>
    <t>b. After second addition of unknown</t>
  </si>
  <si>
    <t>c. After third addition of unknown</t>
  </si>
  <si>
    <t>d. After fourth addition of unknown</t>
  </si>
  <si>
    <t>e. After fifth addition of unknown</t>
  </si>
  <si>
    <t>Mass (g)</t>
  </si>
  <si>
    <t>Buret Rdg. (mL)</t>
  </si>
  <si>
    <t>1. Mass of empty beaker (g)</t>
  </si>
  <si>
    <t>2. Mass of beaker + solid unknown (g)</t>
  </si>
  <si>
    <t>3. Volume of water in graduated cylinder (mL)</t>
  </si>
  <si>
    <t>4. Volue of water + solid unknown (mL)</t>
  </si>
  <si>
    <t>3. Initial buret reading (mL)</t>
  </si>
  <si>
    <t>Density of Solid Unknown</t>
  </si>
  <si>
    <t>1. Volume of solid sample (mL)</t>
  </si>
  <si>
    <t>2. Mass of solid sample (g)</t>
  </si>
  <si>
    <t>3. Density of solid sample (g/mL)</t>
  </si>
  <si>
    <t>4. Average density of solid sample (g/mL)</t>
  </si>
  <si>
    <t>5. Deviation of density (g/mL)</t>
  </si>
  <si>
    <t>6. Average deviation in density of solid (g/mL)</t>
  </si>
  <si>
    <t>7. Percent deviation in density of solid</t>
  </si>
  <si>
    <t>Density of Unknown Liquid</t>
  </si>
  <si>
    <t>volume (mL)</t>
  </si>
  <si>
    <t>Trial #1</t>
  </si>
  <si>
    <t>Trial #2</t>
  </si>
  <si>
    <t>Trial #3</t>
  </si>
  <si>
    <t>Trial #4</t>
  </si>
  <si>
    <t>Trial #5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</si>
</sst>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%"/>
  </numFmts>
  <fonts count="6">
    <font>
      <sz val="12"/>
      <color theme="1"/>
      <name val="TimesNewRomanPSMT"/>
      <family val="2"/>
    </font>
    <font>
      <sz val="12"/>
      <color theme="1"/>
      <name val="TimesNewRomanPSMT"/>
      <family val="2"/>
    </font>
    <font>
      <sz val="20"/>
      <color theme="1"/>
      <name val="TimesNewRomanPSMT"/>
      <family val="2"/>
    </font>
    <font>
      <b/>
      <sz val="20"/>
      <color theme="1"/>
      <name val="TimesNewRomanPSMT"/>
    </font>
    <font>
      <b/>
      <sz val="24"/>
      <color theme="1"/>
      <name val="TimesNewRomanPSMT"/>
    </font>
    <font>
      <sz val="20"/>
      <color rgb="FF000000"/>
      <name val="TimesNewRomanPSMT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166" fontId="2" fillId="0" borderId="0" xfId="1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166" fontId="2" fillId="0" borderId="11" xfId="1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166" fontId="2" fillId="0" borderId="3" xfId="1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'Graph data'!$B$2</c:f>
              <c:strCache>
                <c:ptCount val="1"/>
                <c:pt idx="0">
                  <c:v>Density of Unknown Liquid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70C0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'Graph data'!$C$3:$C$7</c:f>
              <c:numCache>
                <c:formatCode>0.000</c:formatCode>
                <c:ptCount val="5"/>
                <c:pt idx="0">
                  <c:v>6</c:v>
                </c:pt>
                <c:pt idx="1">
                  <c:v>11.992000000000001</c:v>
                </c:pt>
                <c:pt idx="2">
                  <c:v>17.992000000000001</c:v>
                </c:pt>
                <c:pt idx="3">
                  <c:v>23.986000000000001</c:v>
                </c:pt>
                <c:pt idx="4">
                  <c:v>29.983000000000001</c:v>
                </c:pt>
              </c:numCache>
            </c:numRef>
          </c:xVal>
          <c:yVal>
            <c:numRef>
              <c:f>'Graph data'!$D$3:$D$7</c:f>
              <c:numCache>
                <c:formatCode>0.00</c:formatCode>
                <c:ptCount val="5"/>
                <c:pt idx="0">
                  <c:v>5.05</c:v>
                </c:pt>
                <c:pt idx="1">
                  <c:v>10.01</c:v>
                </c:pt>
                <c:pt idx="2">
                  <c:v>15.1</c:v>
                </c:pt>
                <c:pt idx="3">
                  <c:v>20.100000000000001</c:v>
                </c:pt>
                <c:pt idx="4">
                  <c:v>25.1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C2-4344-8D8A-9B60D1BC1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2826784"/>
        <c:axId val="312822880"/>
      </c:scatterChart>
      <c:valAx>
        <c:axId val="31282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>
                    <a:solidFill>
                      <a:schemeClr val="tx1"/>
                    </a:solidFill>
                  </a:rPr>
                  <a:t>Volume (mL)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822880"/>
        <c:crosses val="autoZero"/>
        <c:crossBetween val="midCat"/>
      </c:valAx>
      <c:valAx>
        <c:axId val="31282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>
                    <a:solidFill>
                      <a:schemeClr val="tx1"/>
                    </a:solidFill>
                  </a:rPr>
                  <a:t>Mass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826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D3403D0-5EED-3F4C-8288-79C5A5174B06}">
  <sheetPr/>
  <sheetViews>
    <sheetView zoomScale="15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30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961E0B-8A26-5548-B1A9-616A7B67C3C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9D3B8-733C-0242-8176-773CB3FD9436}">
  <dimension ref="B1:J24"/>
  <sheetViews>
    <sheetView tabSelected="1" topLeftCell="A3" workbookViewId="0">
      <selection activeCell="G22" sqref="G22"/>
    </sheetView>
  </sheetViews>
  <sheetFormatPr baseColWidth="10" defaultRowHeight="25"/>
  <cols>
    <col min="1" max="1" width="3.6640625" style="1" customWidth="1"/>
    <col min="2" max="2" width="66.83203125" style="1" customWidth="1"/>
    <col min="3" max="5" width="26" style="1" customWidth="1"/>
    <col min="6" max="6" width="10.83203125" style="1"/>
    <col min="7" max="7" width="67.1640625" style="1" bestFit="1" customWidth="1"/>
    <col min="8" max="8" width="13.83203125" style="1" bestFit="1" customWidth="1"/>
    <col min="9" max="9" width="20.33203125" style="1" bestFit="1" customWidth="1"/>
    <col min="10" max="10" width="11.33203125" style="1" bestFit="1" customWidth="1"/>
    <col min="11" max="11" width="10.83203125" style="1"/>
    <col min="12" max="12" width="10.83203125" style="1" customWidth="1"/>
    <col min="13" max="16384" width="10.83203125" style="1"/>
  </cols>
  <sheetData>
    <row r="1" spans="2:10" ht="26" thickBot="1"/>
    <row r="2" spans="2:10" ht="31" thickBot="1">
      <c r="B2" s="10" t="s">
        <v>4</v>
      </c>
      <c r="C2" s="11" t="s">
        <v>0</v>
      </c>
      <c r="D2" s="11" t="s">
        <v>1</v>
      </c>
      <c r="E2" s="11" t="s">
        <v>2</v>
      </c>
      <c r="G2" s="15" t="s">
        <v>18</v>
      </c>
      <c r="H2" s="11" t="s">
        <v>0</v>
      </c>
      <c r="I2" s="11" t="s">
        <v>1</v>
      </c>
      <c r="J2" s="11" t="s">
        <v>2</v>
      </c>
    </row>
    <row r="3" spans="2:10" ht="26" thickBot="1">
      <c r="B3" s="9" t="s">
        <v>13</v>
      </c>
      <c r="C3" s="7">
        <v>10.039999999999999</v>
      </c>
      <c r="D3" s="8">
        <v>10.06</v>
      </c>
      <c r="E3" s="8">
        <v>10.06</v>
      </c>
      <c r="G3" s="9" t="s">
        <v>19</v>
      </c>
      <c r="H3" s="7">
        <f>C6-C5</f>
        <v>6</v>
      </c>
      <c r="I3" s="7">
        <f>D6-D5</f>
        <v>6.5</v>
      </c>
      <c r="J3" s="7">
        <f>E6-E5</f>
        <v>6.3999999999999986</v>
      </c>
    </row>
    <row r="4" spans="2:10" ht="26" thickBot="1">
      <c r="B4" s="9" t="s">
        <v>14</v>
      </c>
      <c r="C4" s="6">
        <v>28.1</v>
      </c>
      <c r="D4" s="5">
        <v>28.1</v>
      </c>
      <c r="E4" s="5">
        <v>28.1</v>
      </c>
      <c r="G4" s="19" t="s">
        <v>20</v>
      </c>
      <c r="H4" s="16">
        <f>C4-C3</f>
        <v>18.060000000000002</v>
      </c>
      <c r="I4" s="16">
        <f t="shared" ref="I4:J4" si="0">D4-D3</f>
        <v>18.04</v>
      </c>
      <c r="J4" s="16">
        <f t="shared" si="0"/>
        <v>18.04</v>
      </c>
    </row>
    <row r="5" spans="2:10" ht="26" thickBot="1">
      <c r="B5" s="9" t="s">
        <v>15</v>
      </c>
      <c r="C5" s="6">
        <v>30</v>
      </c>
      <c r="D5" s="5">
        <v>29.5</v>
      </c>
      <c r="E5" s="5">
        <v>29.5</v>
      </c>
      <c r="G5" s="9" t="s">
        <v>21</v>
      </c>
      <c r="H5" s="18">
        <f>H4/H3</f>
        <v>3.0100000000000002</v>
      </c>
      <c r="I5" s="5">
        <f t="shared" ref="I5:J5" si="1">I4/I3</f>
        <v>2.7753846153846151</v>
      </c>
      <c r="J5" s="5">
        <f t="shared" si="1"/>
        <v>2.8187500000000005</v>
      </c>
    </row>
    <row r="6" spans="2:10" ht="26" thickBot="1">
      <c r="B6" s="9" t="s">
        <v>16</v>
      </c>
      <c r="C6" s="6">
        <v>36</v>
      </c>
      <c r="D6" s="5">
        <v>36</v>
      </c>
      <c r="E6" s="5">
        <v>35.9</v>
      </c>
      <c r="G6" s="9" t="s">
        <v>22</v>
      </c>
      <c r="H6" s="6">
        <f>AVERAGE(H5:J5)</f>
        <v>2.8680448717948721</v>
      </c>
      <c r="I6" s="2"/>
      <c r="J6" s="2"/>
    </row>
    <row r="7" spans="2:10" ht="26" thickBot="1">
      <c r="G7" s="20" t="s">
        <v>23</v>
      </c>
      <c r="H7" s="25">
        <f>H5-H6</f>
        <v>0.14195512820512812</v>
      </c>
      <c r="I7" s="5">
        <f>I5-H6</f>
        <v>-9.2660256410256991E-2</v>
      </c>
      <c r="J7" s="5">
        <f>J5-H6</f>
        <v>-4.9294871794871575E-2</v>
      </c>
    </row>
    <row r="8" spans="2:10" ht="26" thickBot="1">
      <c r="G8" s="9" t="s">
        <v>24</v>
      </c>
      <c r="H8" s="17">
        <f>(ABS(H7)+ABS(I7)+ABS(J7))/3</f>
        <v>9.4636752136752225E-2</v>
      </c>
      <c r="I8" s="2"/>
      <c r="J8" s="2"/>
    </row>
    <row r="9" spans="2:10" ht="26" thickBot="1">
      <c r="G9" s="9" t="s">
        <v>25</v>
      </c>
      <c r="H9" s="26">
        <f>H8/H6</f>
        <v>3.2996956591382375E-2</v>
      </c>
    </row>
    <row r="10" spans="2:10">
      <c r="G10" s="3"/>
      <c r="H10" s="21"/>
    </row>
    <row r="11" spans="2:10" s="22" customFormat="1" ht="26" thickBot="1">
      <c r="G11" s="23"/>
      <c r="H11" s="24"/>
    </row>
    <row r="12" spans="2:10" ht="26" thickBot="1"/>
    <row r="13" spans="2:10" ht="31" thickBot="1">
      <c r="B13" s="10" t="s">
        <v>3</v>
      </c>
      <c r="C13" s="2"/>
      <c r="G13" s="10" t="s">
        <v>26</v>
      </c>
      <c r="H13" s="11" t="s">
        <v>11</v>
      </c>
      <c r="I13" s="11" t="s">
        <v>27</v>
      </c>
    </row>
    <row r="14" spans="2:10" ht="26" thickBot="1">
      <c r="B14" s="9" t="s">
        <v>13</v>
      </c>
      <c r="C14" s="4">
        <v>10.058</v>
      </c>
      <c r="G14" s="27" t="s">
        <v>28</v>
      </c>
      <c r="H14" s="12">
        <f>D20-C14</f>
        <v>6</v>
      </c>
      <c r="I14" s="8">
        <f>E20-C16</f>
        <v>5.05</v>
      </c>
    </row>
    <row r="15" spans="2:10" ht="26" thickBot="1">
      <c r="B15" s="9" t="s">
        <v>5</v>
      </c>
      <c r="C15" s="4">
        <v>2065</v>
      </c>
      <c r="G15" s="27" t="s">
        <v>29</v>
      </c>
      <c r="H15" s="13">
        <f>D21-C14</f>
        <v>11.992000000000001</v>
      </c>
      <c r="I15" s="8">
        <f>E21-C16</f>
        <v>10.010000000000002</v>
      </c>
    </row>
    <row r="16" spans="2:10" ht="26" thickBot="1">
      <c r="B16" s="9" t="s">
        <v>17</v>
      </c>
      <c r="C16" s="4">
        <v>3.55</v>
      </c>
      <c r="G16" s="27" t="s">
        <v>30</v>
      </c>
      <c r="H16" s="13">
        <f>D22-C14</f>
        <v>17.992000000000001</v>
      </c>
      <c r="I16" s="8">
        <f>E22-C16</f>
        <v>15.099999999999998</v>
      </c>
    </row>
    <row r="17" spans="2:9" ht="26" thickBot="1">
      <c r="B17" s="3"/>
      <c r="C17" s="2"/>
      <c r="G17" s="27" t="s">
        <v>31</v>
      </c>
      <c r="H17" s="13">
        <f>D23-C14</f>
        <v>23.985999999999997</v>
      </c>
      <c r="I17" s="8">
        <f>E23-C16</f>
        <v>20.099999999999998</v>
      </c>
    </row>
    <row r="18" spans="2:9" ht="26" thickBot="1">
      <c r="B18" s="2"/>
      <c r="C18" s="2"/>
      <c r="G18" s="27" t="s">
        <v>32</v>
      </c>
      <c r="H18" s="13">
        <f>D24-C14</f>
        <v>29.982999999999997</v>
      </c>
      <c r="I18" s="8">
        <f>E24-C16</f>
        <v>25.099999999999998</v>
      </c>
    </row>
    <row r="19" spans="2:9" ht="26" thickBot="1">
      <c r="B19" s="2"/>
      <c r="D19" s="11" t="s">
        <v>11</v>
      </c>
      <c r="E19" s="11" t="s">
        <v>12</v>
      </c>
    </row>
    <row r="20" spans="2:9" ht="26" thickBot="1">
      <c r="B20" s="2"/>
      <c r="C20" s="27" t="s">
        <v>28</v>
      </c>
      <c r="D20" s="12">
        <v>16.058</v>
      </c>
      <c r="E20" s="8">
        <v>8.6</v>
      </c>
    </row>
    <row r="21" spans="2:9" ht="26" thickBot="1">
      <c r="C21" s="27" t="s">
        <v>29</v>
      </c>
      <c r="D21" s="13">
        <v>22.05</v>
      </c>
      <c r="E21" s="5">
        <v>13.56</v>
      </c>
    </row>
    <row r="22" spans="2:9" ht="31" thickBot="1">
      <c r="C22" s="27" t="s">
        <v>30</v>
      </c>
      <c r="D22" s="13">
        <v>28.05</v>
      </c>
      <c r="E22" s="5">
        <v>18.649999999999999</v>
      </c>
      <c r="G22" s="28"/>
    </row>
    <row r="23" spans="2:9" ht="26" thickBot="1">
      <c r="C23" s="27" t="s">
        <v>31</v>
      </c>
      <c r="D23" s="13">
        <v>34.043999999999997</v>
      </c>
      <c r="E23" s="14">
        <v>23.65</v>
      </c>
    </row>
    <row r="24" spans="2:9" ht="26" thickBot="1">
      <c r="C24" s="27" t="s">
        <v>32</v>
      </c>
      <c r="D24" s="13">
        <v>40.040999999999997</v>
      </c>
      <c r="E24" s="5">
        <v>28.65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0A255-5AA0-5A45-9B65-3C113C11EFB5}">
  <dimension ref="B1:D7"/>
  <sheetViews>
    <sheetView workbookViewId="0">
      <selection activeCell="F2" sqref="F2"/>
    </sheetView>
  </sheetViews>
  <sheetFormatPr baseColWidth="10" defaultRowHeight="25"/>
  <cols>
    <col min="1" max="1" width="4" style="1" customWidth="1"/>
    <col min="2" max="2" width="52.1640625" style="1" bestFit="1" customWidth="1"/>
    <col min="3" max="3" width="13.83203125" style="1" bestFit="1" customWidth="1"/>
    <col min="4" max="4" width="20.33203125" style="1" bestFit="1" customWidth="1"/>
    <col min="5" max="16384" width="10.83203125" style="1"/>
  </cols>
  <sheetData>
    <row r="1" spans="2:4" ht="26" thickBot="1"/>
    <row r="2" spans="2:4" ht="31" thickBot="1">
      <c r="B2" s="10" t="s">
        <v>26</v>
      </c>
      <c r="C2" s="11" t="s">
        <v>11</v>
      </c>
      <c r="D2" s="11" t="s">
        <v>27</v>
      </c>
    </row>
    <row r="3" spans="2:4" ht="26" thickBot="1">
      <c r="B3" s="9" t="s">
        <v>6</v>
      </c>
      <c r="C3" s="12">
        <v>6</v>
      </c>
      <c r="D3" s="8">
        <v>5.05</v>
      </c>
    </row>
    <row r="4" spans="2:4" ht="26" thickBot="1">
      <c r="B4" s="9" t="s">
        <v>7</v>
      </c>
      <c r="C4" s="13">
        <v>11.992000000000001</v>
      </c>
      <c r="D4" s="8">
        <v>10.01</v>
      </c>
    </row>
    <row r="5" spans="2:4" ht="26" thickBot="1">
      <c r="B5" s="9" t="s">
        <v>8</v>
      </c>
      <c r="C5" s="13">
        <v>17.992000000000001</v>
      </c>
      <c r="D5" s="8">
        <v>15.1</v>
      </c>
    </row>
    <row r="6" spans="2:4" ht="26" thickBot="1">
      <c r="B6" s="9" t="s">
        <v>9</v>
      </c>
      <c r="C6" s="13">
        <v>23.986000000000001</v>
      </c>
      <c r="D6" s="8">
        <v>20.100000000000001</v>
      </c>
    </row>
    <row r="7" spans="2:4" ht="26" thickBot="1">
      <c r="B7" s="9" t="s">
        <v>10</v>
      </c>
      <c r="C7" s="13">
        <v>29.983000000000001</v>
      </c>
      <c r="D7" s="8">
        <v>25.1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Data</vt:lpstr>
      <vt:lpstr>Graph data</vt:lpstr>
      <vt:lpstr>Mass vs. Volume 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2021-09-19T21:09:51Z</dcterms:created>
  <dcterms:modified xsi:type="dcterms:W3CDTF">2021-09-20T22:46:43Z</dcterms:modified>
</cp:coreProperties>
</file>