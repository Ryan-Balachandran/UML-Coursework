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balachandran/Desktop/Physics/Lab/Homework:Lab/6 - One Dimensional Collisions/"/>
    </mc:Choice>
  </mc:AlternateContent>
  <xr:revisionPtr revIDLastSave="0" documentId="13_ncr:1_{78E0DF1F-8972-B240-9114-78465090518A}" xr6:coauthVersionLast="47" xr6:coauthVersionMax="47" xr10:uidLastSave="{00000000-0000-0000-0000-000000000000}"/>
  <bookViews>
    <workbookView xWindow="10200" yWindow="500" windowWidth="25320" windowHeight="20180" xr2:uid="{DDB8124B-3608-C04D-AB85-03B175F5CB9A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6" i="3" l="1"/>
  <c r="F45" i="3"/>
  <c r="E45" i="3"/>
  <c r="H45" i="3"/>
  <c r="G45" i="3"/>
  <c r="F51" i="3"/>
  <c r="F50" i="3"/>
  <c r="E50" i="3"/>
  <c r="G50" i="3" s="1"/>
  <c r="F39" i="3"/>
  <c r="E39" i="3"/>
  <c r="F38" i="3"/>
  <c r="H38" i="3" s="1"/>
  <c r="E38" i="3"/>
  <c r="G38" i="3" s="1"/>
  <c r="F34" i="3"/>
  <c r="E34" i="3"/>
  <c r="F33" i="3"/>
  <c r="E33" i="3"/>
  <c r="F27" i="3"/>
  <c r="F26" i="3"/>
  <c r="H26" i="3" s="1"/>
  <c r="E26" i="3"/>
  <c r="G26" i="3" s="1"/>
  <c r="F22" i="3"/>
  <c r="F21" i="3"/>
  <c r="H21" i="3" s="1"/>
  <c r="E21" i="3"/>
  <c r="G21" i="3" s="1"/>
  <c r="F15" i="3"/>
  <c r="F14" i="3"/>
  <c r="E14" i="3"/>
  <c r="G14" i="3" s="1"/>
  <c r="F10" i="3"/>
  <c r="E10" i="3"/>
  <c r="F9" i="3"/>
  <c r="E9" i="3"/>
  <c r="I45" i="3" l="1"/>
  <c r="H50" i="3"/>
  <c r="G9" i="3"/>
  <c r="H14" i="3"/>
  <c r="H9" i="3"/>
  <c r="I9" i="3" s="1"/>
  <c r="I26" i="3"/>
  <c r="I14" i="3"/>
  <c r="I38" i="3"/>
  <c r="G33" i="3"/>
  <c r="H33" i="3"/>
  <c r="I33" i="3" s="1"/>
  <c r="I21" i="3"/>
  <c r="I50" i="3"/>
</calcChain>
</file>

<file path=xl/sharedStrings.xml><?xml version="1.0" encoding="utf-8"?>
<sst xmlns="http://schemas.openxmlformats.org/spreadsheetml/2006/main" count="88" uniqueCount="23">
  <si>
    <t>1A</t>
  </si>
  <si>
    <r>
      <t>Initial Velocity V</t>
    </r>
    <r>
      <rPr>
        <vertAlign val="subscript"/>
        <sz val="20"/>
        <color theme="1"/>
        <rFont val="TimesNewRomanPSMT"/>
      </rPr>
      <t xml:space="preserve">i </t>
    </r>
    <r>
      <rPr>
        <sz val="20"/>
        <color theme="1"/>
        <rFont val="TimesNewRomanPSMT"/>
      </rPr>
      <t xml:space="preserve"> (m/s)</t>
    </r>
  </si>
  <si>
    <r>
      <t>Initial Velocity V</t>
    </r>
    <r>
      <rPr>
        <vertAlign val="subscript"/>
        <sz val="20"/>
        <color theme="1"/>
        <rFont val="TimesNewRomanPSMT"/>
      </rPr>
      <t xml:space="preserve">f </t>
    </r>
    <r>
      <rPr>
        <sz val="20"/>
        <color theme="1"/>
        <rFont val="TimesNewRomanPSMT"/>
      </rPr>
      <t xml:space="preserve"> (m/s)</t>
    </r>
  </si>
  <si>
    <t>Total Initial Momentum</t>
  </si>
  <si>
    <t>Total Final Momentum</t>
  </si>
  <si>
    <t>% Difference in Momentum</t>
  </si>
  <si>
    <t>Cart 1</t>
  </si>
  <si>
    <t>Cart 2</t>
  </si>
  <si>
    <r>
      <t>Initial Kinetic Energy KE</t>
    </r>
    <r>
      <rPr>
        <vertAlign val="subscript"/>
        <sz val="20"/>
        <color theme="1"/>
        <rFont val="TimesNewRomanPSMT"/>
      </rPr>
      <t xml:space="preserve">i </t>
    </r>
    <r>
      <rPr>
        <sz val="20"/>
        <color theme="1"/>
        <rFont val="TimesNewRomanPSMT"/>
      </rPr>
      <t xml:space="preserve"> (Joules)</t>
    </r>
  </si>
  <si>
    <r>
      <t>Final Kinetic Energy KE</t>
    </r>
    <r>
      <rPr>
        <vertAlign val="subscript"/>
        <sz val="20"/>
        <color theme="1"/>
        <rFont val="TimesNewRomanPSMT"/>
      </rPr>
      <t xml:space="preserve">f </t>
    </r>
    <r>
      <rPr>
        <sz val="20"/>
        <color theme="1"/>
        <rFont val="TimesNewRomanPSMT"/>
      </rPr>
      <t xml:space="preserve"> (Joules)</t>
    </r>
  </si>
  <si>
    <t>Total Initial KE</t>
  </si>
  <si>
    <t>Total Final KE</t>
  </si>
  <si>
    <t>% Difference in KE</t>
  </si>
  <si>
    <t>1B</t>
  </si>
  <si>
    <t>M1 (kg)</t>
  </si>
  <si>
    <t>M2 (kg)</t>
  </si>
  <si>
    <t>without weight</t>
  </si>
  <si>
    <t>with weight</t>
  </si>
  <si>
    <t>1A/B/C</t>
  </si>
  <si>
    <t>2A</t>
  </si>
  <si>
    <r>
      <t>Initial Momentum     P</t>
    </r>
    <r>
      <rPr>
        <vertAlign val="subscript"/>
        <sz val="20"/>
        <color theme="1"/>
        <rFont val="TimesNewRomanPSMT"/>
      </rPr>
      <t xml:space="preserve">i </t>
    </r>
    <r>
      <rPr>
        <sz val="20"/>
        <color theme="1"/>
        <rFont val="TimesNewRomanPSMT"/>
      </rPr>
      <t xml:space="preserve"> (kg*m/s)</t>
    </r>
  </si>
  <si>
    <r>
      <t>Final Momentum    P</t>
    </r>
    <r>
      <rPr>
        <vertAlign val="subscript"/>
        <sz val="20"/>
        <color theme="1"/>
        <rFont val="TimesNewRomanPSMT"/>
      </rPr>
      <t xml:space="preserve">f </t>
    </r>
    <r>
      <rPr>
        <sz val="20"/>
        <color theme="1"/>
        <rFont val="TimesNewRomanPSMT"/>
      </rPr>
      <t xml:space="preserve"> (kg*m/s)</t>
    </r>
  </si>
  <si>
    <t>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</si>
</sst>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5">
    <font>
      <sz val="12"/>
      <color theme="1"/>
      <name val="TimesNewRomanPSMT"/>
      <family val="2"/>
    </font>
    <font>
      <sz val="12"/>
      <color theme="1"/>
      <name val="TimesNewRomanPSMT"/>
      <family val="2"/>
    </font>
    <font>
      <sz val="20"/>
      <color theme="1"/>
      <name val="TimesNewRomanPSMT"/>
    </font>
    <font>
      <vertAlign val="subscript"/>
      <sz val="20"/>
      <color theme="1"/>
      <name val="TimesNewRomanPSMT"/>
    </font>
    <font>
      <b/>
      <sz val="20"/>
      <color theme="1"/>
      <name val="TimesNewRomanPSMT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9" fontId="2" fillId="0" borderId="2" xfId="1" applyFont="1" applyBorder="1" applyAlignment="1">
      <alignment horizontal="center" vertical="center"/>
    </xf>
    <xf numFmtId="9" fontId="2" fillId="0" borderId="3" xfId="1" applyFont="1" applyBorder="1" applyAlignment="1">
      <alignment horizontal="center" vertical="center"/>
    </xf>
    <xf numFmtId="9" fontId="2" fillId="0" borderId="0" xfId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6F7B4-31A2-B543-B11F-4D12741010DC}">
  <dimension ref="B2:I51"/>
  <sheetViews>
    <sheetView tabSelected="1" workbookViewId="0">
      <selection activeCell="D56" sqref="D56"/>
    </sheetView>
  </sheetViews>
  <sheetFormatPr baseColWidth="10" defaultRowHeight="25"/>
  <cols>
    <col min="1" max="1" width="10.83203125" style="1"/>
    <col min="2" max="2" width="9.83203125" style="1" bestFit="1" customWidth="1"/>
    <col min="3" max="4" width="22.6640625" style="1" bestFit="1" customWidth="1"/>
    <col min="5" max="5" width="30.83203125" style="1" customWidth="1"/>
    <col min="6" max="6" width="29" style="1" bestFit="1" customWidth="1"/>
    <col min="7" max="8" width="17.5" style="1" bestFit="1" customWidth="1"/>
    <col min="9" max="9" width="23.5" style="1" bestFit="1" customWidth="1"/>
    <col min="10" max="16384" width="10.83203125" style="1"/>
  </cols>
  <sheetData>
    <row r="2" spans="2:9">
      <c r="C2" s="2" t="s">
        <v>18</v>
      </c>
      <c r="D2" s="2" t="s">
        <v>14</v>
      </c>
      <c r="E2" s="2" t="s">
        <v>15</v>
      </c>
      <c r="G2" s="2" t="s">
        <v>19</v>
      </c>
      <c r="H2" s="2" t="s">
        <v>14</v>
      </c>
      <c r="I2" s="2" t="s">
        <v>15</v>
      </c>
    </row>
    <row r="3" spans="2:9">
      <c r="C3" s="6" t="s">
        <v>16</v>
      </c>
      <c r="D3" s="2">
        <v>0.59970000000000001</v>
      </c>
      <c r="E3" s="2">
        <v>0.58740000000000003</v>
      </c>
      <c r="G3" s="6"/>
      <c r="H3" s="2">
        <v>0.62409999999999999</v>
      </c>
      <c r="I3" s="2">
        <v>0.61</v>
      </c>
    </row>
    <row r="4" spans="2:9">
      <c r="C4" s="2" t="s">
        <v>17</v>
      </c>
      <c r="D4" s="2">
        <v>0.59970000000000001</v>
      </c>
      <c r="E4" s="2">
        <v>1.2914000000000001</v>
      </c>
    </row>
    <row r="8" spans="2:9" ht="78">
      <c r="B8" s="5" t="s">
        <v>0</v>
      </c>
      <c r="C8" s="3" t="s">
        <v>1</v>
      </c>
      <c r="D8" s="3" t="s">
        <v>2</v>
      </c>
      <c r="E8" s="3" t="s">
        <v>20</v>
      </c>
      <c r="F8" s="3" t="s">
        <v>21</v>
      </c>
      <c r="G8" s="3" t="s">
        <v>3</v>
      </c>
      <c r="H8" s="3" t="s">
        <v>4</v>
      </c>
      <c r="I8" s="3" t="s">
        <v>5</v>
      </c>
    </row>
    <row r="9" spans="2:9">
      <c r="B9" s="2" t="s">
        <v>6</v>
      </c>
      <c r="C9" s="2">
        <v>0.47099999999999997</v>
      </c>
      <c r="D9" s="2">
        <v>6.0000000000000001E-3</v>
      </c>
      <c r="E9" s="2">
        <f>D3*C9</f>
        <v>0.28245870000000001</v>
      </c>
      <c r="F9" s="2">
        <f>D3*D9</f>
        <v>3.5982000000000002E-3</v>
      </c>
      <c r="G9" s="7">
        <f>E9+E10</f>
        <v>0.28245870000000001</v>
      </c>
      <c r="H9" s="7">
        <f>F9+F10</f>
        <v>0.24208260000000004</v>
      </c>
      <c r="I9" s="9">
        <f>(ABS(H9-G9))/G9</f>
        <v>0.14294514560889776</v>
      </c>
    </row>
    <row r="10" spans="2:9">
      <c r="B10" s="2" t="s">
        <v>7</v>
      </c>
      <c r="C10" s="2">
        <v>0</v>
      </c>
      <c r="D10" s="2">
        <v>0.40600000000000003</v>
      </c>
      <c r="E10" s="2">
        <f>E3*C10</f>
        <v>0</v>
      </c>
      <c r="F10" s="2">
        <f>E3*D10</f>
        <v>0.23848440000000004</v>
      </c>
      <c r="G10" s="8"/>
      <c r="H10" s="8"/>
      <c r="I10" s="10"/>
    </row>
    <row r="11" spans="2:9">
      <c r="B11" s="4"/>
      <c r="C11" s="4"/>
      <c r="D11" s="4"/>
      <c r="E11" s="4"/>
      <c r="F11" s="4"/>
      <c r="G11" s="4"/>
      <c r="H11" s="4"/>
      <c r="I11" s="4"/>
    </row>
    <row r="13" spans="2:9" ht="84">
      <c r="B13" s="5" t="s">
        <v>0</v>
      </c>
      <c r="C13" s="3" t="s">
        <v>1</v>
      </c>
      <c r="D13" s="3" t="s">
        <v>2</v>
      </c>
      <c r="E13" s="3" t="s">
        <v>8</v>
      </c>
      <c r="F13" s="3" t="s">
        <v>9</v>
      </c>
      <c r="G13" s="3" t="s">
        <v>10</v>
      </c>
      <c r="H13" s="3" t="s">
        <v>11</v>
      </c>
      <c r="I13" s="3" t="s">
        <v>12</v>
      </c>
    </row>
    <row r="14" spans="2:9">
      <c r="B14" s="2" t="s">
        <v>6</v>
      </c>
      <c r="C14" s="2">
        <v>0.47099999999999997</v>
      </c>
      <c r="D14" s="2">
        <v>6.0000000000000001E-3</v>
      </c>
      <c r="E14" s="2">
        <f>0.5*D3*POWER(C14,2)</f>
        <v>6.6519023849999998E-2</v>
      </c>
      <c r="F14" s="2">
        <f>0.5*D3*POWER(D14, 2)</f>
        <v>1.07946E-5</v>
      </c>
      <c r="G14" s="7">
        <f>E14+E15</f>
        <v>6.6519023849999998E-2</v>
      </c>
      <c r="H14" s="7">
        <f>F14+F15</f>
        <v>4.8423127800000007E-2</v>
      </c>
      <c r="I14" s="9">
        <f>(ABS(H14-G14))/G14</f>
        <v>0.27204091405198799</v>
      </c>
    </row>
    <row r="15" spans="2:9">
      <c r="B15" s="2" t="s">
        <v>7</v>
      </c>
      <c r="C15" s="2">
        <v>0</v>
      </c>
      <c r="D15" s="2">
        <v>0.40600000000000003</v>
      </c>
      <c r="E15" s="2">
        <v>0</v>
      </c>
      <c r="F15" s="2">
        <f>0.5*E3*POWER(D15, 2)</f>
        <v>4.8412333200000005E-2</v>
      </c>
      <c r="G15" s="8"/>
      <c r="H15" s="8"/>
      <c r="I15" s="10"/>
    </row>
    <row r="20" spans="2:9" ht="78">
      <c r="B20" s="5" t="s">
        <v>13</v>
      </c>
      <c r="C20" s="3" t="s">
        <v>1</v>
      </c>
      <c r="D20" s="3" t="s">
        <v>2</v>
      </c>
      <c r="E20" s="3" t="s">
        <v>20</v>
      </c>
      <c r="F20" s="3" t="s">
        <v>21</v>
      </c>
      <c r="G20" s="3" t="s">
        <v>3</v>
      </c>
      <c r="H20" s="3" t="s">
        <v>4</v>
      </c>
      <c r="I20" s="3" t="s">
        <v>5</v>
      </c>
    </row>
    <row r="21" spans="2:9">
      <c r="B21" s="2" t="s">
        <v>6</v>
      </c>
      <c r="C21" s="2">
        <v>0.42899999999999999</v>
      </c>
      <c r="D21" s="2">
        <v>-0.152</v>
      </c>
      <c r="E21" s="2">
        <f>D4*C21</f>
        <v>0.25727129999999998</v>
      </c>
      <c r="F21" s="2">
        <f>D4*D21</f>
        <v>-9.1154399999999997E-2</v>
      </c>
      <c r="G21" s="7">
        <f>E21+E22</f>
        <v>0.25727129999999998</v>
      </c>
      <c r="H21" s="7">
        <f>F21+F22</f>
        <v>0.3117624</v>
      </c>
      <c r="I21" s="9">
        <f>(ABS(H21-G21))/G21</f>
        <v>0.21180403721674365</v>
      </c>
    </row>
    <row r="22" spans="2:9">
      <c r="B22" s="2" t="s">
        <v>7</v>
      </c>
      <c r="C22" s="2">
        <v>0</v>
      </c>
      <c r="D22" s="2">
        <v>0.312</v>
      </c>
      <c r="E22" s="2">
        <v>0</v>
      </c>
      <c r="F22" s="2">
        <f>E4*D22</f>
        <v>0.40291680000000002</v>
      </c>
      <c r="G22" s="8"/>
      <c r="H22" s="8"/>
      <c r="I22" s="10"/>
    </row>
    <row r="23" spans="2:9">
      <c r="B23" s="4"/>
      <c r="C23" s="4"/>
      <c r="D23" s="4"/>
      <c r="E23" s="4"/>
      <c r="F23" s="4"/>
      <c r="G23" s="4"/>
      <c r="H23" s="4"/>
      <c r="I23" s="4"/>
    </row>
    <row r="25" spans="2:9" ht="84">
      <c r="B25" s="5" t="s">
        <v>13</v>
      </c>
      <c r="C25" s="3" t="s">
        <v>1</v>
      </c>
      <c r="D25" s="3" t="s">
        <v>2</v>
      </c>
      <c r="E25" s="3" t="s">
        <v>8</v>
      </c>
      <c r="F25" s="3" t="s">
        <v>9</v>
      </c>
      <c r="G25" s="3" t="s">
        <v>10</v>
      </c>
      <c r="H25" s="3" t="s">
        <v>11</v>
      </c>
      <c r="I25" s="3" t="s">
        <v>12</v>
      </c>
    </row>
    <row r="26" spans="2:9">
      <c r="B26" s="2" t="s">
        <v>6</v>
      </c>
      <c r="C26" s="2">
        <v>0.42899999999999999</v>
      </c>
      <c r="D26" s="2">
        <v>-0.14699999999999999</v>
      </c>
      <c r="E26" s="2">
        <f>0.5*D4*POWER(C26, 2)</f>
        <v>5.5184693849999994E-2</v>
      </c>
      <c r="F26" s="2">
        <f>0.5*D4*POWER(D26,2)</f>
        <v>6.4794586499999987E-3</v>
      </c>
      <c r="G26" s="7">
        <f>E26+E27</f>
        <v>5.5184693849999994E-2</v>
      </c>
      <c r="H26" s="7">
        <f>F26+F27</f>
        <v>4.5872969950000002E-2</v>
      </c>
      <c r="I26" s="9">
        <f>(ABS(H26-G26))/G26</f>
        <v>0.16873743877805336</v>
      </c>
    </row>
    <row r="27" spans="2:9">
      <c r="B27" s="2" t="s">
        <v>7</v>
      </c>
      <c r="C27" s="2">
        <v>0</v>
      </c>
      <c r="D27" s="2">
        <v>0.247</v>
      </c>
      <c r="E27" s="2">
        <v>0</v>
      </c>
      <c r="F27" s="2">
        <f>0.5*E4*POWER(D27,2)</f>
        <v>3.9393511300000003E-2</v>
      </c>
      <c r="G27" s="8"/>
      <c r="H27" s="8"/>
      <c r="I27" s="10"/>
    </row>
    <row r="32" spans="2:9" ht="78">
      <c r="B32" s="5" t="s">
        <v>22</v>
      </c>
      <c r="C32" s="3" t="s">
        <v>1</v>
      </c>
      <c r="D32" s="3" t="s">
        <v>2</v>
      </c>
      <c r="E32" s="3" t="s">
        <v>20</v>
      </c>
      <c r="F32" s="3" t="s">
        <v>21</v>
      </c>
      <c r="G32" s="3" t="s">
        <v>3</v>
      </c>
      <c r="H32" s="3" t="s">
        <v>4</v>
      </c>
      <c r="I32" s="3" t="s">
        <v>5</v>
      </c>
    </row>
    <row r="33" spans="2:9">
      <c r="B33" s="2" t="s">
        <v>6</v>
      </c>
      <c r="C33" s="2">
        <v>0.28799999999999998</v>
      </c>
      <c r="D33" s="2">
        <v>-0.39800000000000002</v>
      </c>
      <c r="E33" s="2">
        <f>D3*C33</f>
        <v>0.17271359999999999</v>
      </c>
      <c r="F33" s="2">
        <f>D3*D33</f>
        <v>-0.23868060000000002</v>
      </c>
      <c r="G33" s="7">
        <f>E33+E34</f>
        <v>-6.1071600000000031E-2</v>
      </c>
      <c r="H33" s="7">
        <f>F33+F34</f>
        <v>-6.0698400000000013E-2</v>
      </c>
      <c r="I33" s="9">
        <f>(ABS(H33-G33))/G33</f>
        <v>-6.1108600396914074E-3</v>
      </c>
    </row>
    <row r="34" spans="2:9">
      <c r="B34" s="2" t="s">
        <v>7</v>
      </c>
      <c r="C34" s="2">
        <v>-0.39800000000000002</v>
      </c>
      <c r="D34" s="2">
        <v>0.30299999999999999</v>
      </c>
      <c r="E34" s="2">
        <f>E3*C34</f>
        <v>-0.23378520000000003</v>
      </c>
      <c r="F34" s="2">
        <f>E3*D34</f>
        <v>0.17798220000000001</v>
      </c>
      <c r="G34" s="8"/>
      <c r="H34" s="8"/>
      <c r="I34" s="10"/>
    </row>
    <row r="35" spans="2:9">
      <c r="B35" s="4"/>
      <c r="C35" s="4"/>
      <c r="D35" s="4"/>
      <c r="E35" s="4"/>
      <c r="F35" s="4"/>
      <c r="G35" s="4"/>
      <c r="H35" s="4"/>
      <c r="I35" s="4"/>
    </row>
    <row r="37" spans="2:9" ht="84">
      <c r="B37" s="5" t="s">
        <v>22</v>
      </c>
      <c r="C37" s="3" t="s">
        <v>1</v>
      </c>
      <c r="D37" s="3" t="s">
        <v>2</v>
      </c>
      <c r="E37" s="3" t="s">
        <v>8</v>
      </c>
      <c r="F37" s="3" t="s">
        <v>9</v>
      </c>
      <c r="G37" s="3" t="s">
        <v>10</v>
      </c>
      <c r="H37" s="3" t="s">
        <v>11</v>
      </c>
      <c r="I37" s="3" t="s">
        <v>12</v>
      </c>
    </row>
    <row r="38" spans="2:9">
      <c r="B38" s="2" t="s">
        <v>6</v>
      </c>
      <c r="C38" s="2">
        <v>0.28799999999999998</v>
      </c>
      <c r="D38" s="2">
        <v>-0.39800000000000002</v>
      </c>
      <c r="E38" s="2">
        <f>0.5*D3*POWER(C38,2)</f>
        <v>2.4870758399999998E-2</v>
      </c>
      <c r="F38" s="2">
        <f>0.5*D3*POWER(D38,2)</f>
        <v>4.7497439400000008E-2</v>
      </c>
      <c r="G38" s="7">
        <f>E38+E39</f>
        <v>7.1394013200000009E-2</v>
      </c>
      <c r="H38" s="7">
        <f>F38+F39</f>
        <v>7.4461742700000014E-2</v>
      </c>
      <c r="I38" s="9">
        <f>(ABS(H38-G38))/G38</f>
        <v>4.2969002056323743E-2</v>
      </c>
    </row>
    <row r="39" spans="2:9">
      <c r="B39" s="2" t="s">
        <v>7</v>
      </c>
      <c r="C39" s="2">
        <v>-0.39800000000000002</v>
      </c>
      <c r="D39" s="2">
        <v>0.30299999999999999</v>
      </c>
      <c r="E39" s="2">
        <f>0.5*E3*POWER(C39,2)</f>
        <v>4.6523254800000011E-2</v>
      </c>
      <c r="F39" s="2">
        <f>0.5*E3*POWER(D39,2)</f>
        <v>2.6964303300000003E-2</v>
      </c>
      <c r="G39" s="8"/>
      <c r="H39" s="8"/>
      <c r="I39" s="10"/>
    </row>
    <row r="40" spans="2:9">
      <c r="B40" s="4"/>
      <c r="C40" s="4"/>
      <c r="D40" s="4"/>
      <c r="E40" s="4"/>
      <c r="F40" s="4"/>
      <c r="G40" s="4"/>
      <c r="H40" s="4"/>
      <c r="I40" s="11"/>
    </row>
    <row r="41" spans="2:9">
      <c r="B41" s="4"/>
      <c r="C41" s="4"/>
      <c r="D41" s="4"/>
      <c r="E41" s="4"/>
      <c r="F41" s="4"/>
      <c r="G41" s="4"/>
      <c r="H41" s="4"/>
      <c r="I41" s="11"/>
    </row>
    <row r="42" spans="2:9">
      <c r="B42" s="4"/>
      <c r="C42" s="4"/>
      <c r="D42" s="4"/>
      <c r="E42" s="4"/>
      <c r="F42" s="4"/>
      <c r="G42" s="4"/>
      <c r="H42" s="4"/>
      <c r="I42" s="11"/>
    </row>
    <row r="43" spans="2:9">
      <c r="B43" s="4"/>
      <c r="C43" s="4"/>
      <c r="D43" s="4"/>
      <c r="E43" s="4"/>
      <c r="F43" s="4"/>
      <c r="G43" s="4"/>
      <c r="H43" s="4"/>
      <c r="I43" s="11"/>
    </row>
    <row r="44" spans="2:9" ht="78">
      <c r="B44" s="5" t="s">
        <v>19</v>
      </c>
      <c r="C44" s="3" t="s">
        <v>1</v>
      </c>
      <c r="D44" s="3" t="s">
        <v>2</v>
      </c>
      <c r="E44" s="3" t="s">
        <v>20</v>
      </c>
      <c r="F44" s="3" t="s">
        <v>21</v>
      </c>
      <c r="G44" s="3" t="s">
        <v>3</v>
      </c>
      <c r="H44" s="3" t="s">
        <v>4</v>
      </c>
      <c r="I44" s="3" t="s">
        <v>5</v>
      </c>
    </row>
    <row r="45" spans="2:9">
      <c r="B45" s="2" t="s">
        <v>6</v>
      </c>
      <c r="C45" s="2">
        <v>0.57499999999999996</v>
      </c>
      <c r="D45" s="2">
        <v>0.23799999999999999</v>
      </c>
      <c r="E45" s="2">
        <f>H3*C45</f>
        <v>0.35885749999999994</v>
      </c>
      <c r="F45" s="2">
        <f>H3*D45</f>
        <v>0.1485358</v>
      </c>
      <c r="G45" s="7">
        <f>E45+E46</f>
        <v>0.35885749999999994</v>
      </c>
      <c r="H45" s="7">
        <f>F45+F46</f>
        <v>0.29066579999999997</v>
      </c>
      <c r="I45" s="9">
        <f>(ABS(H45-G45))/G45</f>
        <v>0.19002445260305267</v>
      </c>
    </row>
    <row r="46" spans="2:9">
      <c r="B46" s="2" t="s">
        <v>7</v>
      </c>
      <c r="C46" s="2">
        <v>0</v>
      </c>
      <c r="D46" s="2">
        <v>0.23300000000000001</v>
      </c>
      <c r="E46" s="2">
        <v>0</v>
      </c>
      <c r="F46" s="2">
        <f>I3*D46</f>
        <v>0.14213000000000001</v>
      </c>
      <c r="G46" s="8"/>
      <c r="H46" s="8"/>
      <c r="I46" s="10"/>
    </row>
    <row r="47" spans="2:9">
      <c r="B47" s="4"/>
      <c r="C47" s="4"/>
      <c r="D47" s="4"/>
      <c r="E47" s="4"/>
      <c r="F47" s="4"/>
      <c r="G47" s="4"/>
      <c r="H47" s="4"/>
      <c r="I47" s="4"/>
    </row>
    <row r="49" spans="2:9" ht="84">
      <c r="B49" s="5" t="s">
        <v>19</v>
      </c>
      <c r="C49" s="3" t="s">
        <v>1</v>
      </c>
      <c r="D49" s="3" t="s">
        <v>2</v>
      </c>
      <c r="E49" s="3" t="s">
        <v>8</v>
      </c>
      <c r="F49" s="3" t="s">
        <v>9</v>
      </c>
      <c r="G49" s="3" t="s">
        <v>10</v>
      </c>
      <c r="H49" s="3" t="s">
        <v>11</v>
      </c>
      <c r="I49" s="3" t="s">
        <v>12</v>
      </c>
    </row>
    <row r="50" spans="2:9">
      <c r="B50" s="2" t="s">
        <v>6</v>
      </c>
      <c r="C50" s="2">
        <v>0.57499999999999996</v>
      </c>
      <c r="D50" s="2">
        <v>0.23799999999999999</v>
      </c>
      <c r="E50" s="2">
        <f>0.5*H3*POWER(C50,2)</f>
        <v>0.10317153124999998</v>
      </c>
      <c r="F50" s="2">
        <f>0.5*H3*POWER(D50,2)</f>
        <v>1.7675760199999998E-2</v>
      </c>
      <c r="G50" s="7">
        <f>E50+E51</f>
        <v>0.10317153124999998</v>
      </c>
      <c r="H50" s="7">
        <f>F50+F51</f>
        <v>3.4233905199999998E-2</v>
      </c>
      <c r="I50" s="9">
        <f>(ABS(H50-G50))/G50</f>
        <v>0.66818457780716511</v>
      </c>
    </row>
    <row r="51" spans="2:9">
      <c r="B51" s="2" t="s">
        <v>7</v>
      </c>
      <c r="C51" s="2">
        <v>0</v>
      </c>
      <c r="D51" s="2">
        <v>0.23300000000000001</v>
      </c>
      <c r="E51" s="2">
        <v>0</v>
      </c>
      <c r="F51" s="2">
        <f>0.5*I3*POWER(D51,2)</f>
        <v>1.6558145E-2</v>
      </c>
      <c r="G51" s="8"/>
      <c r="H51" s="8"/>
      <c r="I51" s="10"/>
    </row>
  </sheetData>
  <mergeCells count="24">
    <mergeCell ref="G45:G46"/>
    <mergeCell ref="H45:H46"/>
    <mergeCell ref="I45:I46"/>
    <mergeCell ref="G50:G51"/>
    <mergeCell ref="H50:H51"/>
    <mergeCell ref="I50:I51"/>
    <mergeCell ref="G33:G34"/>
    <mergeCell ref="H33:H34"/>
    <mergeCell ref="I33:I34"/>
    <mergeCell ref="G38:G39"/>
    <mergeCell ref="H38:H39"/>
    <mergeCell ref="I38:I39"/>
    <mergeCell ref="G21:G22"/>
    <mergeCell ref="H21:H22"/>
    <mergeCell ref="I21:I22"/>
    <mergeCell ref="G26:G27"/>
    <mergeCell ref="H26:H27"/>
    <mergeCell ref="I26:I27"/>
    <mergeCell ref="G9:G10"/>
    <mergeCell ref="H9:H10"/>
    <mergeCell ref="I9:I10"/>
    <mergeCell ref="G14:G15"/>
    <mergeCell ref="H14:H15"/>
    <mergeCell ref="I14:I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2022-04-21T17:12:15Z</dcterms:created>
  <dcterms:modified xsi:type="dcterms:W3CDTF">2022-04-28T22:41:52Z</dcterms:modified>
</cp:coreProperties>
</file>