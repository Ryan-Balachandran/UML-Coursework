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balachandran/Desktop/Physics/Lab/Homework:Lab/2 - Projectile Motion/"/>
    </mc:Choice>
  </mc:AlternateContent>
  <xr:revisionPtr revIDLastSave="0" documentId="13_ncr:1_{B9416EF3-FB6D-8949-8B23-96F93938D670}" xr6:coauthVersionLast="47" xr6:coauthVersionMax="47" xr10:uidLastSave="{00000000-0000-0000-0000-000000000000}"/>
  <bookViews>
    <workbookView xWindow="0" yWindow="500" windowWidth="35840" windowHeight="20020" activeTab="1" xr2:uid="{4994C191-0BAF-5643-8592-20EE1102C88E}"/>
  </bookViews>
  <sheets>
    <sheet name="Sheet1" sheetId="1" r:id="rId1"/>
    <sheet name="Drag" sheetId="7" r:id="rId2"/>
    <sheet name="Chart 1" sheetId="2" r:id="rId3"/>
    <sheet name="Chart 2" sheetId="3" r:id="rId4"/>
    <sheet name="Chart 3" sheetId="5" r:id="rId5"/>
    <sheet name="Chart 4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0" i="1" l="1"/>
  <c r="C41" i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6" i="1"/>
  <c r="F38" i="1" s="1"/>
  <c r="C22" i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K11" i="1"/>
  <c r="N11" i="1" s="1"/>
  <c r="K12" i="1"/>
  <c r="N12" i="1" s="1"/>
  <c r="K13" i="1"/>
  <c r="N13" i="1" s="1"/>
  <c r="K14" i="1"/>
  <c r="N14" i="1" s="1"/>
  <c r="K15" i="1"/>
  <c r="N15" i="1" s="1"/>
  <c r="K16" i="1"/>
  <c r="N16" i="1" s="1"/>
  <c r="J11" i="1"/>
  <c r="J12" i="1"/>
  <c r="J13" i="1"/>
  <c r="J14" i="1"/>
  <c r="J15" i="1"/>
  <c r="J16" i="1"/>
  <c r="K10" i="1"/>
  <c r="N10" i="1" s="1"/>
  <c r="I10" i="1"/>
  <c r="L10" i="1" s="1"/>
  <c r="I11" i="1"/>
  <c r="L11" i="1" s="1"/>
  <c r="I12" i="1"/>
  <c r="L12" i="1" s="1"/>
  <c r="I13" i="1"/>
  <c r="L13" i="1" s="1"/>
  <c r="I14" i="1"/>
  <c r="L14" i="1" s="1"/>
  <c r="I15" i="1"/>
  <c r="L15" i="1" s="1"/>
  <c r="I16" i="1"/>
  <c r="L16" i="1" s="1"/>
  <c r="H11" i="1"/>
  <c r="H12" i="1"/>
  <c r="H13" i="1"/>
  <c r="H14" i="1"/>
  <c r="H15" i="1"/>
  <c r="H16" i="1"/>
  <c r="H10" i="1"/>
  <c r="F11" i="1"/>
  <c r="F12" i="1"/>
  <c r="F13" i="1"/>
  <c r="F14" i="1"/>
  <c r="F15" i="1"/>
  <c r="F16" i="1"/>
  <c r="F10" i="1"/>
  <c r="E6" i="1"/>
  <c r="D6" i="1"/>
  <c r="G38" i="1" s="1"/>
  <c r="M16" i="1" l="1"/>
  <c r="M15" i="1"/>
  <c r="M12" i="1"/>
  <c r="M14" i="1"/>
  <c r="M11" i="1"/>
  <c r="M13" i="1"/>
  <c r="M10" i="1"/>
</calcChain>
</file>

<file path=xl/sharedStrings.xml><?xml version="1.0" encoding="utf-8"?>
<sst xmlns="http://schemas.openxmlformats.org/spreadsheetml/2006/main" count="70" uniqueCount="34">
  <si>
    <t>Angle</t>
  </si>
  <si>
    <t>Flight Time (s)</t>
  </si>
  <si>
    <t>Range (m)</t>
  </si>
  <si>
    <t>Maximum Height (m)</t>
  </si>
  <si>
    <t>Speed (m/s)</t>
  </si>
  <si>
    <t>Setting 1</t>
  </si>
  <si>
    <t>Setting 2</t>
  </si>
  <si>
    <t>Setting 3</t>
  </si>
  <si>
    <t>Velocity (m/s)</t>
  </si>
  <si>
    <t>Average:</t>
  </si>
  <si>
    <t>Measured</t>
  </si>
  <si>
    <t>Calculated/Theoretical</t>
  </si>
  <si>
    <t>Range (cm)</t>
  </si>
  <si>
    <t>Maximum Height (cm)</t>
  </si>
  <si>
    <t>Trajectory</t>
  </si>
  <si>
    <t>X</t>
  </si>
  <si>
    <t>Y</t>
  </si>
  <si>
    <t>Calculated</t>
  </si>
  <si>
    <t>Initial X velocity</t>
  </si>
  <si>
    <t>Initial Y velocity</t>
  </si>
  <si>
    <t>Percent Error</t>
  </si>
  <si>
    <t>Drag</t>
  </si>
  <si>
    <t>Mass</t>
  </si>
  <si>
    <t>Diameter</t>
  </si>
  <si>
    <t>Mass (kg)</t>
  </si>
  <si>
    <t>Diameter (m)</t>
  </si>
  <si>
    <t>Drag Coefficient</t>
  </si>
  <si>
    <t>Trial 1</t>
  </si>
  <si>
    <t>Trial 2</t>
  </si>
  <si>
    <t>Trial 3</t>
  </si>
  <si>
    <t>Trial 4</t>
  </si>
  <si>
    <t>Trial 5</t>
  </si>
  <si>
    <t xml:space="preserve"> Initial Speed (m/s)</t>
  </si>
  <si>
    <t>Time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</si>
</sst>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7">
    <font>
      <sz val="12"/>
      <color theme="1"/>
      <name val="TimesNewRomanPSMT"/>
      <family val="2"/>
    </font>
    <font>
      <sz val="18"/>
      <color theme="1"/>
      <name val="TimesNewRomanPSMT"/>
      <family val="2"/>
    </font>
    <font>
      <b/>
      <sz val="18"/>
      <color theme="1"/>
      <name val="TimesNewRomanPSMT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  <font>
      <b/>
      <sz val="20"/>
      <color rgb="FF000000"/>
      <name val="Times New Roman"/>
      <family val="1"/>
    </font>
    <font>
      <sz val="2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165" fontId="1" fillId="0" borderId="1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164" fontId="1" fillId="0" borderId="22" xfId="0" applyNumberFormat="1" applyFont="1" applyBorder="1" applyAlignment="1">
      <alignment horizontal="center" vertical="center"/>
    </xf>
    <xf numFmtId="164" fontId="1" fillId="0" borderId="23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164" fontId="1" fillId="0" borderId="19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5" fontId="1" fillId="0" borderId="25" xfId="0" applyNumberFormat="1" applyFont="1" applyBorder="1" applyAlignment="1">
      <alignment horizontal="center" vertical="center"/>
    </xf>
    <xf numFmtId="165" fontId="1" fillId="0" borderId="26" xfId="0" applyNumberFormat="1" applyFont="1" applyBorder="1" applyAlignment="1">
      <alignment horizontal="center" vertical="center"/>
    </xf>
    <xf numFmtId="165" fontId="1" fillId="0" borderId="2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65" fontId="5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5" Type="http://schemas.openxmlformats.org/officeDocument/2006/relationships/chartsheet" Target="chartsheets/sheet3.xml"/><Relationship Id="rId10" Type="http://schemas.openxmlformats.org/officeDocument/2006/relationships/calcChain" Target="calcChain.xml"/><Relationship Id="rId4" Type="http://schemas.openxmlformats.org/officeDocument/2006/relationships/chartsheet" Target="chartsheets/sheet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Drag vs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Drag!$C$3:$G$3</c:f>
              <c:numCache>
                <c:formatCode>General</c:formatCode>
                <c:ptCount val="5"/>
                <c:pt idx="0">
                  <c:v>0.27</c:v>
                </c:pt>
                <c:pt idx="1">
                  <c:v>0.37</c:v>
                </c:pt>
                <c:pt idx="2">
                  <c:v>0.47</c:v>
                </c:pt>
                <c:pt idx="3">
                  <c:v>0.56999999999999995</c:v>
                </c:pt>
                <c:pt idx="4">
                  <c:v>0.67</c:v>
                </c:pt>
              </c:numCache>
            </c:numRef>
          </c:xVal>
          <c:yVal>
            <c:numRef>
              <c:f>Drag!$C$8:$G$8</c:f>
              <c:numCache>
                <c:formatCode>General</c:formatCode>
                <c:ptCount val="5"/>
                <c:pt idx="0">
                  <c:v>36.479999999999997</c:v>
                </c:pt>
                <c:pt idx="1">
                  <c:v>31.92</c:v>
                </c:pt>
                <c:pt idx="2">
                  <c:v>28.49</c:v>
                </c:pt>
                <c:pt idx="3">
                  <c:v>25.79</c:v>
                </c:pt>
                <c:pt idx="4">
                  <c:v>23.61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C0-A047-80D4-3A5D826AF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7699983"/>
        <c:axId val="1228167727"/>
      </c:scatterChart>
      <c:valAx>
        <c:axId val="1227699983"/>
        <c:scaling>
          <c:orientation val="minMax"/>
          <c:max val="0.8"/>
          <c:min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Drag Coefficient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167727"/>
        <c:crosses val="autoZero"/>
        <c:crossBetween val="midCat"/>
      </c:valAx>
      <c:valAx>
        <c:axId val="1228167727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699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Diameter vs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Drag!$C$13:$G$13</c:f>
              <c:numCache>
                <c:formatCode>General</c:formatCode>
                <c:ptCount val="5"/>
                <c:pt idx="0">
                  <c:v>0.6</c:v>
                </c:pt>
                <c:pt idx="1">
                  <c:v>0.7</c:v>
                </c:pt>
                <c:pt idx="2">
                  <c:v>0.8</c:v>
                </c:pt>
                <c:pt idx="3">
                  <c:v>0.9</c:v>
                </c:pt>
                <c:pt idx="4" formatCode="0.0">
                  <c:v>1</c:v>
                </c:pt>
              </c:numCache>
            </c:numRef>
          </c:xVal>
          <c:yVal>
            <c:numRef>
              <c:f>Drag!$C$17:$G$17</c:f>
              <c:numCache>
                <c:formatCode>General</c:formatCode>
                <c:ptCount val="5"/>
                <c:pt idx="0">
                  <c:v>36.78</c:v>
                </c:pt>
                <c:pt idx="1">
                  <c:v>32.32</c:v>
                </c:pt>
                <c:pt idx="2">
                  <c:v>28.49</c:v>
                </c:pt>
                <c:pt idx="3">
                  <c:v>25.21</c:v>
                </c:pt>
                <c:pt idx="4">
                  <c:v>22.41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DF-0747-B375-0D00CC5B6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784239"/>
        <c:axId val="1230969999"/>
      </c:scatterChart>
      <c:valAx>
        <c:axId val="1230784239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Diameter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969999"/>
        <c:crosses val="autoZero"/>
        <c:crossBetween val="midCat"/>
      </c:valAx>
      <c:valAx>
        <c:axId val="1230969999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784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Mass vs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Drag!$C$23:$G$23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</c:numCache>
            </c:numRef>
          </c:xVal>
          <c:yVal>
            <c:numRef>
              <c:f>Drag!$C$26:$G$26</c:f>
              <c:numCache>
                <c:formatCode>General</c:formatCode>
                <c:ptCount val="5"/>
                <c:pt idx="0">
                  <c:v>21.58</c:v>
                </c:pt>
                <c:pt idx="1">
                  <c:v>25.38</c:v>
                </c:pt>
                <c:pt idx="2">
                  <c:v>28.49</c:v>
                </c:pt>
                <c:pt idx="3">
                  <c:v>31.1</c:v>
                </c:pt>
                <c:pt idx="4">
                  <c:v>33.33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94-BD49-9F6C-50CC83F79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1163119"/>
        <c:axId val="799242495"/>
      </c:scatterChart>
      <c:valAx>
        <c:axId val="1291163119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Mass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242495"/>
        <c:crosses val="autoZero"/>
        <c:crossBetween val="midCat"/>
      </c:valAx>
      <c:valAx>
        <c:axId val="799242495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1631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Time of Flight vs</a:t>
            </a:r>
            <a:r>
              <a:rPr lang="en-US" baseline="0">
                <a:solidFill>
                  <a:schemeClr val="tx1"/>
                </a:solidFill>
              </a:rPr>
              <a:t> Launch Angle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Measured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Sheet1!$B$10:$B$16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</c:numCache>
            </c:numRef>
          </c:xVal>
          <c:yVal>
            <c:numRef>
              <c:f>Sheet1!$D$10:$D$16</c:f>
              <c:numCache>
                <c:formatCode>0.0000</c:formatCode>
                <c:ptCount val="7"/>
                <c:pt idx="0">
                  <c:v>0.22739999999999999</c:v>
                </c:pt>
                <c:pt idx="1">
                  <c:v>0.36370000000000002</c:v>
                </c:pt>
                <c:pt idx="2">
                  <c:v>0.48570000000000002</c:v>
                </c:pt>
                <c:pt idx="3">
                  <c:v>0.72829999999999995</c:v>
                </c:pt>
                <c:pt idx="4">
                  <c:v>0.88900000000000001</c:v>
                </c:pt>
                <c:pt idx="5">
                  <c:v>0.95</c:v>
                </c:pt>
                <c:pt idx="6">
                  <c:v>0.98799999999999999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B0-F44D-9846-C98DE9CF1342}"/>
            </c:ext>
          </c:extLst>
        </c:ser>
        <c:ser>
          <c:idx val="1"/>
          <c:order val="1"/>
          <c:tx>
            <c:v>Calculated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Sheet1!$B$10:$B$16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</c:numCache>
            </c:numRef>
          </c:xVal>
          <c:yVal>
            <c:numRef>
              <c:f>Sheet1!$I$10:$I$16</c:f>
              <c:numCache>
                <c:formatCode>0.0000</c:formatCode>
                <c:ptCount val="7"/>
                <c:pt idx="0">
                  <c:v>0.17807346252082765</c:v>
                </c:pt>
                <c:pt idx="1">
                  <c:v>0.35073625299247985</c:v>
                </c:pt>
                <c:pt idx="2">
                  <c:v>0.51274209989806308</c:v>
                </c:pt>
                <c:pt idx="3">
                  <c:v>0.72512683167550129</c:v>
                </c:pt>
                <c:pt idx="4">
                  <c:v>0.88809536820300228</c:v>
                </c:pt>
                <c:pt idx="5">
                  <c:v>0.96363993528096203</c:v>
                </c:pt>
                <c:pt idx="6">
                  <c:v>1.0099047905507454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B0-F44D-9846-C98DE9CF1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7463791"/>
        <c:axId val="737465439"/>
      </c:scatterChart>
      <c:valAx>
        <c:axId val="737463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</a:rPr>
                  <a:t>Launch</a:t>
                </a:r>
                <a:r>
                  <a:rPr lang="en-US" sz="1400" baseline="0">
                    <a:solidFill>
                      <a:schemeClr val="tx1"/>
                    </a:solidFill>
                  </a:rPr>
                  <a:t> </a:t>
                </a:r>
                <a:r>
                  <a:rPr lang="en-US" sz="1400">
                    <a:solidFill>
                      <a:schemeClr val="tx1"/>
                    </a:solidFill>
                  </a:rPr>
                  <a:t>Angle (degrees)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465439"/>
        <c:crosses val="autoZero"/>
        <c:crossBetween val="midCat"/>
      </c:valAx>
      <c:valAx>
        <c:axId val="73746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</a:rPr>
                  <a:t>Time</a:t>
                </a:r>
                <a:r>
                  <a:rPr lang="en-US" sz="1400" baseline="0">
                    <a:solidFill>
                      <a:schemeClr val="tx1"/>
                    </a:solidFill>
                  </a:rPr>
                  <a:t> of Flight (seconds)</a:t>
                </a:r>
                <a:endParaRPr lang="en-US" sz="14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463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Max Height vs</a:t>
            </a:r>
            <a:r>
              <a:rPr lang="en-US" baseline="0">
                <a:solidFill>
                  <a:schemeClr val="tx1"/>
                </a:solidFill>
              </a:rPr>
              <a:t> Launch Angle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Measured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Sheet1!$B$10:$B$16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</c:numCache>
            </c:numRef>
          </c:xVal>
          <c:yVal>
            <c:numRef>
              <c:f>Sheet1!$G$10:$G$16</c:f>
              <c:numCache>
                <c:formatCode>General</c:formatCode>
                <c:ptCount val="7"/>
                <c:pt idx="0">
                  <c:v>5</c:v>
                </c:pt>
                <c:pt idx="1">
                  <c:v>18</c:v>
                </c:pt>
                <c:pt idx="2">
                  <c:v>31</c:v>
                </c:pt>
                <c:pt idx="3">
                  <c:v>67</c:v>
                </c:pt>
                <c:pt idx="4">
                  <c:v>104</c:v>
                </c:pt>
                <c:pt idx="5">
                  <c:v>112</c:v>
                </c:pt>
                <c:pt idx="6">
                  <c:v>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2D-5943-9177-D1113E950B97}"/>
            </c:ext>
          </c:extLst>
        </c:ser>
        <c:ser>
          <c:idx val="1"/>
          <c:order val="1"/>
          <c:tx>
            <c:v>Calculated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Sheet1!$B$10:$B$16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</c:numCache>
            </c:numRef>
          </c:xVal>
          <c:yVal>
            <c:numRef>
              <c:f>Sheet1!$K$10:$K$16</c:f>
              <c:numCache>
                <c:formatCode>0.0000</c:formatCode>
                <c:ptCount val="7"/>
                <c:pt idx="0">
                  <c:v>3.7421004557835302</c:v>
                </c:pt>
                <c:pt idx="1">
                  <c:v>14.517049280645796</c:v>
                </c:pt>
                <c:pt idx="2">
                  <c:v>31.025228624999997</c:v>
                </c:pt>
                <c:pt idx="3">
                  <c:v>62.050457249999994</c:v>
                </c:pt>
                <c:pt idx="4">
                  <c:v>93.075685875000005</c:v>
                </c:pt>
                <c:pt idx="5">
                  <c:v>109.58386521935419</c:v>
                </c:pt>
                <c:pt idx="6">
                  <c:v>120.35881404421647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2D-5943-9177-D1113E950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417935"/>
        <c:axId val="760490815"/>
      </c:scatterChart>
      <c:valAx>
        <c:axId val="735417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</a:rPr>
                  <a:t>Launch</a:t>
                </a:r>
                <a:r>
                  <a:rPr lang="en-US" sz="1400" baseline="0">
                    <a:solidFill>
                      <a:schemeClr val="tx1"/>
                    </a:solidFill>
                  </a:rPr>
                  <a:t> Angle (degrees)</a:t>
                </a:r>
                <a:endParaRPr lang="en-US" sz="14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490815"/>
        <c:crosses val="autoZero"/>
        <c:crossBetween val="midCat"/>
      </c:valAx>
      <c:valAx>
        <c:axId val="76049081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</a:rPr>
                  <a:t>Max Height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417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Range vs Launch Angle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Measuered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Sheet1!$B$10:$B$16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</c:numCache>
            </c:numRef>
          </c:xVal>
          <c:yVal>
            <c:numRef>
              <c:f>Sheet1!$F$10:$F$16</c:f>
              <c:numCache>
                <c:formatCode>General</c:formatCode>
                <c:ptCount val="7"/>
                <c:pt idx="0">
                  <c:v>1.3019999999999998</c:v>
                </c:pt>
                <c:pt idx="1">
                  <c:v>1.7469999999999999</c:v>
                </c:pt>
                <c:pt idx="2">
                  <c:v>2.0750000000000002</c:v>
                </c:pt>
                <c:pt idx="3">
                  <c:v>2.633</c:v>
                </c:pt>
                <c:pt idx="4">
                  <c:v>2.1139999999999999</c:v>
                </c:pt>
                <c:pt idx="5">
                  <c:v>1.7630000000000001</c:v>
                </c:pt>
                <c:pt idx="6">
                  <c:v>1.2470000000000001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19-DF4E-8660-8D40AF644E9F}"/>
            </c:ext>
          </c:extLst>
        </c:ser>
        <c:ser>
          <c:idx val="1"/>
          <c:order val="1"/>
          <c:tx>
            <c:v>Calculated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Sheet1!$B$10:$B$16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</c:numCache>
            </c:numRef>
          </c:xVal>
          <c:yVal>
            <c:numRef>
              <c:f>Sheet1!$J$10:$J$16</c:f>
              <c:numCache>
                <c:formatCode>0.0000</c:formatCode>
                <c:ptCount val="7"/>
                <c:pt idx="0">
                  <c:v>0.88210167627608671</c:v>
                </c:pt>
                <c:pt idx="1">
                  <c:v>1.6578088719590378</c:v>
                </c:pt>
                <c:pt idx="2">
                  <c:v>2.233559851030551</c:v>
                </c:pt>
                <c:pt idx="3">
                  <c:v>2.5790927624872579</c:v>
                </c:pt>
                <c:pt idx="4">
                  <c:v>2.233559851030551</c:v>
                </c:pt>
                <c:pt idx="5">
                  <c:v>1.6578088719590385</c:v>
                </c:pt>
                <c:pt idx="6">
                  <c:v>0.88210167627608727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19-DF4E-8660-8D40AF644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6920831"/>
        <c:axId val="736868975"/>
      </c:scatterChart>
      <c:valAx>
        <c:axId val="73692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</a:rPr>
                  <a:t>Launch Angle (degrees)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868975"/>
        <c:crosses val="autoZero"/>
        <c:crossBetween val="midCat"/>
      </c:valAx>
      <c:valAx>
        <c:axId val="73686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</a:rPr>
                  <a:t>Range (meters)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920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X vs Y Trajectory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Sheet1!$C$20:$C$34</c:f>
              <c:numCache>
                <c:formatCode>General</c:formatCode>
                <c:ptCount val="1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</c:numCache>
            </c:numRef>
          </c:xVal>
          <c:yVal>
            <c:numRef>
              <c:f>Sheet1!$D$20:$D$34</c:f>
              <c:numCache>
                <c:formatCode>General</c:formatCode>
                <c:ptCount val="15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29</c:v>
                </c:pt>
                <c:pt idx="4">
                  <c:v>35</c:v>
                </c:pt>
                <c:pt idx="5">
                  <c:v>43</c:v>
                </c:pt>
                <c:pt idx="6">
                  <c:v>45</c:v>
                </c:pt>
                <c:pt idx="7">
                  <c:v>48</c:v>
                </c:pt>
                <c:pt idx="8">
                  <c:v>45</c:v>
                </c:pt>
                <c:pt idx="9">
                  <c:v>43</c:v>
                </c:pt>
                <c:pt idx="10">
                  <c:v>40</c:v>
                </c:pt>
                <c:pt idx="11">
                  <c:v>35</c:v>
                </c:pt>
                <c:pt idx="12">
                  <c:v>29</c:v>
                </c:pt>
                <c:pt idx="13">
                  <c:v>21</c:v>
                </c:pt>
                <c:pt idx="14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D8-E548-8920-B22400363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664815"/>
        <c:axId val="755473087"/>
      </c:scatterChart>
      <c:valAx>
        <c:axId val="75566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X - 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473087"/>
        <c:crosses val="autoZero"/>
        <c:crossBetween val="midCat"/>
      </c:valAx>
      <c:valAx>
        <c:axId val="75547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Y - 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664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FA5EA60-150C-B942-8485-36D1E30327D4}">
  <sheetPr/>
  <sheetViews>
    <sheetView zoomScale="15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43BB8FC-AE99-2B46-B361-FC1F71016F3F}">
  <sheetPr/>
  <sheetViews>
    <sheetView zoomScale="15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7EC1124-9D9F-D544-9627-C42BAD6287A6}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EAE25A9-0801-AE41-A112-BEE84921FA49}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0</xdr:row>
      <xdr:rowOff>222250</xdr:rowOff>
    </xdr:from>
    <xdr:to>
      <xdr:col>14</xdr:col>
      <xdr:colOff>88900</xdr:colOff>
      <xdr:row>12</xdr:row>
      <xdr:rowOff>292100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756BC7A-C1D6-C643-A5C7-8920C6603E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222250</xdr:colOff>
      <xdr:row>13</xdr:row>
      <xdr:rowOff>19050</xdr:rowOff>
    </xdr:from>
    <xdr:to>
      <xdr:col>14</xdr:col>
      <xdr:colOff>76200</xdr:colOff>
      <xdr:row>23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EBE5B9C-2E0B-0B43-B896-46FF52393E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222250</xdr:colOff>
      <xdr:row>23</xdr:row>
      <xdr:rowOff>31750</xdr:rowOff>
    </xdr:from>
    <xdr:to>
      <xdr:col>14</xdr:col>
      <xdr:colOff>63500</xdr:colOff>
      <xdr:row>32</xdr:row>
      <xdr:rowOff>101600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EC6F294-0F22-E74F-8FA7-3074C57709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9A022E-9187-ED41-A535-907BC7731D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E10BAB-D4CF-4642-9A50-BDB701559E3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0A8929-90DB-044D-B35B-18210CBD5FF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9682" cy="62933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5B9A3B-3C9C-BE41-AA81-2384CCA1C6D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1639A-7DAE-ED49-8F4D-7C05A806450F}">
  <dimension ref="B1:N54"/>
  <sheetViews>
    <sheetView topLeftCell="A6" workbookViewId="0">
      <selection activeCell="G20" sqref="G20"/>
    </sheetView>
  </sheetViews>
  <sheetFormatPr baseColWidth="10" defaultRowHeight="23"/>
  <cols>
    <col min="1" max="1" width="10.83203125" style="1"/>
    <col min="2" max="2" width="19.1640625" style="1" bestFit="1" customWidth="1"/>
    <col min="3" max="3" width="16" style="1" bestFit="1" customWidth="1"/>
    <col min="4" max="4" width="20" style="1" bestFit="1" customWidth="1"/>
    <col min="5" max="5" width="15.6640625" style="1" bestFit="1" customWidth="1"/>
    <col min="6" max="6" width="22.5" style="1" bestFit="1" customWidth="1"/>
    <col min="7" max="7" width="30" style="1" bestFit="1" customWidth="1"/>
    <col min="8" max="8" width="28.6640625" style="1" bestFit="1" customWidth="1"/>
    <col min="9" max="9" width="20" style="1" bestFit="1" customWidth="1"/>
    <col min="10" max="10" width="14.33203125" style="1" bestFit="1" customWidth="1"/>
    <col min="11" max="11" width="30" style="1" bestFit="1" customWidth="1"/>
    <col min="12" max="12" width="20" style="1" bestFit="1" customWidth="1"/>
    <col min="13" max="13" width="14.33203125" style="1" bestFit="1" customWidth="1"/>
    <col min="14" max="14" width="28.6640625" style="1" bestFit="1" customWidth="1"/>
    <col min="15" max="15" width="14.33203125" style="1" bestFit="1" customWidth="1"/>
    <col min="16" max="16" width="28.6640625" style="1" bestFit="1" customWidth="1"/>
    <col min="17" max="17" width="20" style="1" bestFit="1" customWidth="1"/>
    <col min="18" max="18" width="14.33203125" style="1" bestFit="1" customWidth="1"/>
    <col min="19" max="19" width="28.6640625" style="1" bestFit="1" customWidth="1"/>
    <col min="20" max="16384" width="10.83203125" style="1"/>
  </cols>
  <sheetData>
    <row r="1" spans="2:14" ht="24" thickBot="1"/>
    <row r="2" spans="2:14" ht="24" thickBot="1">
      <c r="B2" s="4" t="s">
        <v>8</v>
      </c>
      <c r="C2" s="4" t="s">
        <v>5</v>
      </c>
      <c r="D2" s="4" t="s">
        <v>6</v>
      </c>
      <c r="E2" s="4" t="s">
        <v>7</v>
      </c>
    </row>
    <row r="3" spans="2:14" ht="24" thickBot="1">
      <c r="B3" s="4">
        <v>1</v>
      </c>
      <c r="C3" s="7">
        <v>2.93</v>
      </c>
      <c r="D3" s="6">
        <v>3.85</v>
      </c>
      <c r="E3" s="28">
        <v>5.03</v>
      </c>
    </row>
    <row r="4" spans="2:14" ht="24" thickBot="1">
      <c r="B4" s="4">
        <v>2</v>
      </c>
      <c r="C4" s="8">
        <v>2.92</v>
      </c>
      <c r="D4" s="5">
        <v>3.85</v>
      </c>
      <c r="E4" s="29">
        <v>5.05</v>
      </c>
    </row>
    <row r="5" spans="2:14" ht="24" thickBot="1">
      <c r="B5" s="4">
        <v>3</v>
      </c>
      <c r="C5" s="8">
        <v>2.92</v>
      </c>
      <c r="D5" s="5">
        <v>3.86</v>
      </c>
      <c r="E5" s="29">
        <v>5</v>
      </c>
    </row>
    <row r="6" spans="2:14" ht="24" thickBot="1">
      <c r="B6" s="4" t="s">
        <v>9</v>
      </c>
      <c r="C6" s="30">
        <f>(C3+C4+C5)/3</f>
        <v>2.9233333333333333</v>
      </c>
      <c r="D6" s="31">
        <f>(D3+D4+D5)/3</f>
        <v>3.8533333333333335</v>
      </c>
      <c r="E6" s="32">
        <f>(E3+E4+E5)/3</f>
        <v>5.0266666666666664</v>
      </c>
    </row>
    <row r="7" spans="2:14" ht="24" thickBot="1"/>
    <row r="8" spans="2:14" ht="24" thickBot="1">
      <c r="B8" s="9"/>
      <c r="C8" s="35" t="s">
        <v>10</v>
      </c>
      <c r="D8" s="36"/>
      <c r="E8" s="36"/>
      <c r="F8" s="36"/>
      <c r="G8" s="37"/>
      <c r="H8" s="37"/>
      <c r="I8" s="35" t="s">
        <v>11</v>
      </c>
      <c r="J8" s="36"/>
      <c r="K8" s="38"/>
      <c r="L8" s="35" t="s">
        <v>20</v>
      </c>
      <c r="M8" s="36"/>
      <c r="N8" s="38"/>
    </row>
    <row r="9" spans="2:14" ht="24" thickBot="1">
      <c r="B9" s="4" t="s">
        <v>0</v>
      </c>
      <c r="C9" s="4" t="s">
        <v>4</v>
      </c>
      <c r="D9" s="4" t="s">
        <v>1</v>
      </c>
      <c r="E9" s="4" t="s">
        <v>12</v>
      </c>
      <c r="F9" s="4" t="s">
        <v>2</v>
      </c>
      <c r="G9" s="4" t="s">
        <v>13</v>
      </c>
      <c r="H9" s="21" t="s">
        <v>3</v>
      </c>
      <c r="I9" s="4" t="s">
        <v>1</v>
      </c>
      <c r="J9" s="4" t="s">
        <v>2</v>
      </c>
      <c r="K9" s="21" t="s">
        <v>13</v>
      </c>
      <c r="L9" s="27" t="s">
        <v>1</v>
      </c>
      <c r="M9" s="27" t="s">
        <v>2</v>
      </c>
      <c r="N9" s="27" t="s">
        <v>3</v>
      </c>
    </row>
    <row r="10" spans="2:14" ht="24" thickBot="1">
      <c r="B10" s="4">
        <v>10</v>
      </c>
      <c r="C10" s="10">
        <v>5.03</v>
      </c>
      <c r="D10" s="14">
        <v>0.22739999999999999</v>
      </c>
      <c r="E10" s="17">
        <v>130.19999999999999</v>
      </c>
      <c r="F10" s="3">
        <f>CONVERT(E10,"cm","m")</f>
        <v>1.3019999999999998</v>
      </c>
      <c r="G10" s="3">
        <v>5</v>
      </c>
      <c r="H10" s="22">
        <f>CONVERT(G10,"cm","m")</f>
        <v>0.05</v>
      </c>
      <c r="I10" s="33">
        <f>(2*C10*SIN(RADIANS(B10)))/9.81</f>
        <v>0.17807346252082765</v>
      </c>
      <c r="J10" s="34">
        <f>(C10^2*SIN(2*(RADIANS(B10))))/9.81</f>
        <v>0.88210167627608671</v>
      </c>
      <c r="K10" s="39">
        <f>(C10^2*(SIN(RADIANS(B10))^2))/2*9.81</f>
        <v>3.7421004557835302</v>
      </c>
      <c r="L10" s="45">
        <f>(ABS(D10-I10)/I10)*100</f>
        <v>27.700105777076729</v>
      </c>
      <c r="M10" s="48">
        <f>(ABS(F10-J10)/J10)*100</f>
        <v>47.602032171231272</v>
      </c>
      <c r="N10" s="49">
        <f>(ABS(G10-K10)/K10)*100</f>
        <v>33.614798936579795</v>
      </c>
    </row>
    <row r="11" spans="2:14" ht="24" thickBot="1">
      <c r="B11" s="4">
        <v>20</v>
      </c>
      <c r="C11" s="11">
        <v>5.03</v>
      </c>
      <c r="D11" s="15">
        <v>0.36370000000000002</v>
      </c>
      <c r="E11" s="18">
        <v>174.7</v>
      </c>
      <c r="F11" s="3">
        <f t="shared" ref="F11:F16" si="0">CONVERT(E11,"cm","m")</f>
        <v>1.7469999999999999</v>
      </c>
      <c r="G11" s="3">
        <v>18</v>
      </c>
      <c r="H11" s="22">
        <f t="shared" ref="H11:H16" si="1">CONVERT(G11,"cm","m")</f>
        <v>0.18</v>
      </c>
      <c r="I11" s="24">
        <f>(2*C11*SIN(RADIANS(B11)))/9.81</f>
        <v>0.35073625299247985</v>
      </c>
      <c r="J11" s="20">
        <f>(C11^2*SIN(2*(RADIANS(B11))))/9.81</f>
        <v>1.6578088719590378</v>
      </c>
      <c r="K11" s="40">
        <f>(C11^2*(SIN(RADIANS(B11))^2))/2*9.81</f>
        <v>14.517049280645796</v>
      </c>
      <c r="L11" s="43">
        <f t="shared" ref="L11:L16" si="2">(ABS(D11-I11)/I11)*100</f>
        <v>3.6961525639033765</v>
      </c>
      <c r="M11" s="42">
        <f t="shared" ref="M11:M16" si="3">(ABS(F11-J11)/J11)*100</f>
        <v>5.3800609677980944</v>
      </c>
      <c r="N11" s="50">
        <f t="shared" ref="N11:N16" si="4">(ABS(G11-K11)/K11)*100</f>
        <v>23.992139532085844</v>
      </c>
    </row>
    <row r="12" spans="2:14" ht="24" thickBot="1">
      <c r="B12" s="4">
        <v>30</v>
      </c>
      <c r="C12" s="11">
        <v>5.03</v>
      </c>
      <c r="D12" s="15">
        <v>0.48570000000000002</v>
      </c>
      <c r="E12" s="18">
        <v>207.5</v>
      </c>
      <c r="F12" s="3">
        <f t="shared" si="0"/>
        <v>2.0750000000000002</v>
      </c>
      <c r="G12" s="3">
        <v>31</v>
      </c>
      <c r="H12" s="22">
        <f t="shared" si="1"/>
        <v>0.31</v>
      </c>
      <c r="I12" s="24">
        <f>(2*C12*SIN(RADIANS(B12)))/9.81</f>
        <v>0.51274209989806308</v>
      </c>
      <c r="J12" s="20">
        <f>(C12^2*SIN(2*(RADIANS(B12))))/9.81</f>
        <v>2.233559851030551</v>
      </c>
      <c r="K12" s="40">
        <f>(C12^2*(SIN(RADIANS(B12))^2))/2*9.81</f>
        <v>31.025228624999997</v>
      </c>
      <c r="L12" s="43">
        <f t="shared" si="2"/>
        <v>5.2740159045725381</v>
      </c>
      <c r="M12" s="42">
        <f t="shared" si="3"/>
        <v>7.0989748028194661</v>
      </c>
      <c r="N12" s="50">
        <f t="shared" si="4"/>
        <v>8.1316483771751408E-2</v>
      </c>
    </row>
    <row r="13" spans="2:14" ht="24" thickBot="1">
      <c r="B13" s="4">
        <v>45</v>
      </c>
      <c r="C13" s="11">
        <v>5.03</v>
      </c>
      <c r="D13" s="15">
        <v>0.72829999999999995</v>
      </c>
      <c r="E13" s="18">
        <v>263.3</v>
      </c>
      <c r="F13" s="3">
        <f t="shared" si="0"/>
        <v>2.633</v>
      </c>
      <c r="G13" s="3">
        <v>67</v>
      </c>
      <c r="H13" s="22">
        <f t="shared" si="1"/>
        <v>0.67</v>
      </c>
      <c r="I13" s="24">
        <f>(2*C13*SIN(RADIANS(B13)))/9.81</f>
        <v>0.72512683167550129</v>
      </c>
      <c r="J13" s="20">
        <f>(C13^2*SIN(2*(RADIANS(B13))))/9.81</f>
        <v>2.5790927624872579</v>
      </c>
      <c r="K13" s="40">
        <f>(C13^2*(SIN(RADIANS(B13))^2))/2*9.81</f>
        <v>62.050457249999994</v>
      </c>
      <c r="L13" s="43">
        <f t="shared" si="2"/>
        <v>0.43760183541500319</v>
      </c>
      <c r="M13" s="42">
        <f t="shared" si="3"/>
        <v>2.0901628005327861</v>
      </c>
      <c r="N13" s="50">
        <f t="shared" si="4"/>
        <v>7.9766418643111718</v>
      </c>
    </row>
    <row r="14" spans="2:14" ht="24" thickBot="1">
      <c r="B14" s="4">
        <v>60</v>
      </c>
      <c r="C14" s="11">
        <v>5.03</v>
      </c>
      <c r="D14" s="15">
        <v>0.88900000000000001</v>
      </c>
      <c r="E14" s="18">
        <v>211.4</v>
      </c>
      <c r="F14" s="3">
        <f t="shared" si="0"/>
        <v>2.1139999999999999</v>
      </c>
      <c r="G14" s="3">
        <v>104</v>
      </c>
      <c r="H14" s="22">
        <f t="shared" si="1"/>
        <v>1.04</v>
      </c>
      <c r="I14" s="24">
        <f>(2*C14*SIN(RADIANS(B14)))/9.81</f>
        <v>0.88809536820300228</v>
      </c>
      <c r="J14" s="20">
        <f>(C14^2*SIN(2*(RADIANS(B14))))/9.81</f>
        <v>2.233559851030551</v>
      </c>
      <c r="K14" s="40">
        <f>(C14^2*(SIN(RADIANS(B14))^2))/2*9.81</f>
        <v>93.075685875000005</v>
      </c>
      <c r="L14" s="43">
        <f t="shared" si="2"/>
        <v>0.10186201047621637</v>
      </c>
      <c r="M14" s="42">
        <f t="shared" si="3"/>
        <v>5.3528832448965682</v>
      </c>
      <c r="N14" s="50">
        <f t="shared" si="4"/>
        <v>11.737022426749851</v>
      </c>
    </row>
    <row r="15" spans="2:14" ht="24" thickBot="1">
      <c r="B15" s="4">
        <v>70</v>
      </c>
      <c r="C15" s="11">
        <v>5.03</v>
      </c>
      <c r="D15" s="15">
        <v>0.95</v>
      </c>
      <c r="E15" s="18">
        <v>176.3</v>
      </c>
      <c r="F15" s="3">
        <f t="shared" si="0"/>
        <v>1.7630000000000001</v>
      </c>
      <c r="G15" s="3">
        <v>112</v>
      </c>
      <c r="H15" s="22">
        <f t="shared" si="1"/>
        <v>1.1200000000000001</v>
      </c>
      <c r="I15" s="24">
        <f>(2*C15*SIN(RADIANS(B15)))/9.81</f>
        <v>0.96363993528096203</v>
      </c>
      <c r="J15" s="20">
        <f>(C15^2*SIN(2*(RADIANS(B15))))/9.81</f>
        <v>1.6578088719590385</v>
      </c>
      <c r="K15" s="40">
        <f>(C15^2*(SIN(RADIANS(B15))^2))/2*9.81</f>
        <v>109.58386521935419</v>
      </c>
      <c r="L15" s="43">
        <f t="shared" si="2"/>
        <v>1.415459735693205</v>
      </c>
      <c r="M15" s="42">
        <f t="shared" si="3"/>
        <v>6.3451903183903786</v>
      </c>
      <c r="N15" s="50">
        <f t="shared" si="4"/>
        <v>2.2048271210450778</v>
      </c>
    </row>
    <row r="16" spans="2:14" ht="24" thickBot="1">
      <c r="B16" s="4">
        <v>80</v>
      </c>
      <c r="C16" s="13">
        <v>5.03</v>
      </c>
      <c r="D16" s="16">
        <v>0.98799999999999999</v>
      </c>
      <c r="E16" s="19">
        <v>124.7</v>
      </c>
      <c r="F16" s="12">
        <f t="shared" si="0"/>
        <v>1.2470000000000001</v>
      </c>
      <c r="G16" s="2">
        <v>128</v>
      </c>
      <c r="H16" s="23">
        <f t="shared" si="1"/>
        <v>1.28</v>
      </c>
      <c r="I16" s="25">
        <f>(2*C16*SIN(RADIANS(B16)))/9.81</f>
        <v>1.0099047905507454</v>
      </c>
      <c r="J16" s="26">
        <f>(C16^2*SIN(2*(RADIANS(B16))))/9.81</f>
        <v>0.88210167627608727</v>
      </c>
      <c r="K16" s="41">
        <f>(C16^2*(SIN(RADIANS(B16))^2))/2*9.81</f>
        <v>120.35881404421647</v>
      </c>
      <c r="L16" s="44">
        <f t="shared" si="2"/>
        <v>2.1689956078730761</v>
      </c>
      <c r="M16" s="51">
        <f t="shared" si="3"/>
        <v>41.366923285349714</v>
      </c>
      <c r="N16" s="52">
        <f t="shared" si="4"/>
        <v>6.3486716917768637</v>
      </c>
    </row>
    <row r="18" spans="2:11" ht="24" thickBot="1"/>
    <row r="19" spans="2:11" ht="24" thickBot="1">
      <c r="B19" s="4" t="s">
        <v>14</v>
      </c>
      <c r="C19" s="4" t="s">
        <v>15</v>
      </c>
      <c r="D19" s="4" t="s">
        <v>16</v>
      </c>
      <c r="F19" s="53"/>
      <c r="G19" s="47"/>
      <c r="H19" s="47"/>
      <c r="I19" s="47"/>
      <c r="J19" s="47"/>
      <c r="K19" s="47"/>
    </row>
    <row r="20" spans="2:11" ht="24" thickBot="1">
      <c r="B20" s="4" t="s">
        <v>10</v>
      </c>
      <c r="C20" s="10">
        <v>0</v>
      </c>
      <c r="D20" s="3">
        <v>0</v>
      </c>
      <c r="F20" s="47"/>
      <c r="G20" s="47"/>
      <c r="H20" s="47"/>
      <c r="I20" s="47"/>
      <c r="J20" s="47"/>
      <c r="K20" s="47"/>
    </row>
    <row r="21" spans="2:11">
      <c r="B21" s="47"/>
      <c r="C21" s="46">
        <v>5</v>
      </c>
      <c r="D21" s="46">
        <v>10</v>
      </c>
      <c r="F21" s="47"/>
      <c r="G21" s="47"/>
      <c r="H21" s="47"/>
      <c r="I21" s="47"/>
      <c r="J21" s="47"/>
      <c r="K21" s="47"/>
    </row>
    <row r="22" spans="2:11">
      <c r="B22" s="47"/>
      <c r="C22" s="46">
        <f>C21+5</f>
        <v>10</v>
      </c>
      <c r="D22" s="46">
        <v>21</v>
      </c>
      <c r="F22" s="47"/>
      <c r="G22" s="47"/>
      <c r="H22" s="47"/>
      <c r="I22" s="47"/>
      <c r="J22" s="47"/>
      <c r="K22" s="47"/>
    </row>
    <row r="23" spans="2:11">
      <c r="B23" s="47"/>
      <c r="C23" s="46">
        <f>C22+5</f>
        <v>15</v>
      </c>
      <c r="D23" s="46">
        <v>29</v>
      </c>
      <c r="F23" s="47"/>
      <c r="G23" s="47"/>
      <c r="H23" s="47"/>
      <c r="I23" s="47"/>
      <c r="J23" s="47"/>
      <c r="K23" s="47"/>
    </row>
    <row r="24" spans="2:11">
      <c r="B24" s="47"/>
      <c r="C24" s="46">
        <f t="shared" ref="C24:C34" si="5">C23+5</f>
        <v>20</v>
      </c>
      <c r="D24" s="46">
        <v>35</v>
      </c>
      <c r="F24" s="47"/>
      <c r="G24" s="47"/>
      <c r="H24" s="47"/>
      <c r="I24" s="47"/>
      <c r="J24" s="47"/>
      <c r="K24" s="47"/>
    </row>
    <row r="25" spans="2:11">
      <c r="B25" s="47"/>
      <c r="C25" s="46">
        <f t="shared" si="5"/>
        <v>25</v>
      </c>
      <c r="D25" s="46">
        <v>43</v>
      </c>
      <c r="F25" s="47"/>
      <c r="G25" s="47"/>
      <c r="H25" s="47"/>
      <c r="I25" s="47"/>
      <c r="J25" s="47"/>
      <c r="K25" s="47"/>
    </row>
    <row r="26" spans="2:11">
      <c r="B26" s="47"/>
      <c r="C26" s="46">
        <f t="shared" si="5"/>
        <v>30</v>
      </c>
      <c r="D26" s="46">
        <v>45</v>
      </c>
    </row>
    <row r="27" spans="2:11">
      <c r="B27" s="47"/>
      <c r="C27" s="46">
        <f t="shared" si="5"/>
        <v>35</v>
      </c>
      <c r="D27" s="46">
        <v>48</v>
      </c>
    </row>
    <row r="28" spans="2:11">
      <c r="B28" s="47"/>
      <c r="C28" s="46">
        <f t="shared" si="5"/>
        <v>40</v>
      </c>
      <c r="D28" s="46">
        <v>45</v>
      </c>
    </row>
    <row r="29" spans="2:11">
      <c r="B29" s="47"/>
      <c r="C29" s="46">
        <f t="shared" si="5"/>
        <v>45</v>
      </c>
      <c r="D29" s="46">
        <v>43</v>
      </c>
    </row>
    <row r="30" spans="2:11">
      <c r="B30" s="47"/>
      <c r="C30" s="46">
        <f t="shared" si="5"/>
        <v>50</v>
      </c>
      <c r="D30" s="46">
        <v>40</v>
      </c>
    </row>
    <row r="31" spans="2:11">
      <c r="B31" s="47"/>
      <c r="C31" s="46">
        <f t="shared" si="5"/>
        <v>55</v>
      </c>
      <c r="D31" s="46">
        <v>35</v>
      </c>
    </row>
    <row r="32" spans="2:11">
      <c r="B32" s="47"/>
      <c r="C32" s="46">
        <f t="shared" si="5"/>
        <v>60</v>
      </c>
      <c r="D32" s="46">
        <v>29</v>
      </c>
    </row>
    <row r="33" spans="2:7">
      <c r="B33" s="47"/>
      <c r="C33" s="46">
        <f t="shared" si="5"/>
        <v>65</v>
      </c>
      <c r="D33" s="46">
        <v>21</v>
      </c>
    </row>
    <row r="34" spans="2:7">
      <c r="B34" s="47"/>
      <c r="C34" s="46">
        <f t="shared" si="5"/>
        <v>70</v>
      </c>
      <c r="D34" s="46">
        <v>10</v>
      </c>
    </row>
    <row r="35" spans="2:7">
      <c r="B35" s="47"/>
      <c r="C35" s="46">
        <v>75</v>
      </c>
      <c r="D35" s="46">
        <v>0</v>
      </c>
    </row>
    <row r="36" spans="2:7">
      <c r="C36" s="47"/>
      <c r="D36" s="47"/>
    </row>
    <row r="37" spans="2:7" ht="24" thickBot="1">
      <c r="F37" s="46" t="s">
        <v>18</v>
      </c>
      <c r="G37" s="46" t="s">
        <v>19</v>
      </c>
    </row>
    <row r="38" spans="2:7" ht="24" thickBot="1">
      <c r="B38" s="4" t="s">
        <v>14</v>
      </c>
      <c r="C38" s="4" t="s">
        <v>15</v>
      </c>
      <c r="D38" s="4" t="s">
        <v>16</v>
      </c>
      <c r="F38" s="5">
        <f>C6*COS(RADIANS(75))</f>
        <v>0.75661434184970233</v>
      </c>
      <c r="G38" s="5">
        <f>-(D6*SIN(RADIANS(75)))</f>
        <v>-3.7220341839672102</v>
      </c>
    </row>
    <row r="39" spans="2:7" ht="24" thickBot="1">
      <c r="B39" s="4" t="s">
        <v>17</v>
      </c>
      <c r="C39" s="10">
        <v>0</v>
      </c>
      <c r="D39" s="3">
        <v>0</v>
      </c>
    </row>
    <row r="40" spans="2:7">
      <c r="B40" s="47"/>
      <c r="C40" s="46">
        <v>5</v>
      </c>
      <c r="D40" s="46"/>
    </row>
    <row r="41" spans="2:7">
      <c r="B41" s="47"/>
      <c r="C41" s="46">
        <f>C40+5</f>
        <v>10</v>
      </c>
      <c r="D41" s="46"/>
    </row>
    <row r="42" spans="2:7">
      <c r="B42" s="47"/>
      <c r="C42" s="46">
        <f>C41+5</f>
        <v>15</v>
      </c>
      <c r="D42" s="46"/>
    </row>
    <row r="43" spans="2:7">
      <c r="B43" s="47"/>
      <c r="C43" s="46">
        <f t="shared" ref="C43:C53" si="6">C42+5</f>
        <v>20</v>
      </c>
      <c r="D43" s="46"/>
    </row>
    <row r="44" spans="2:7">
      <c r="B44" s="47"/>
      <c r="C44" s="46">
        <f t="shared" si="6"/>
        <v>25</v>
      </c>
      <c r="D44" s="46"/>
    </row>
    <row r="45" spans="2:7">
      <c r="B45" s="47"/>
      <c r="C45" s="46">
        <f t="shared" si="6"/>
        <v>30</v>
      </c>
      <c r="D45" s="46"/>
    </row>
    <row r="46" spans="2:7">
      <c r="B46" s="47"/>
      <c r="C46" s="46">
        <f t="shared" si="6"/>
        <v>35</v>
      </c>
      <c r="D46" s="46"/>
    </row>
    <row r="47" spans="2:7">
      <c r="B47" s="47"/>
      <c r="C47" s="46">
        <f t="shared" si="6"/>
        <v>40</v>
      </c>
      <c r="D47" s="46"/>
    </row>
    <row r="48" spans="2:7">
      <c r="B48" s="47"/>
      <c r="C48" s="46">
        <f t="shared" si="6"/>
        <v>45</v>
      </c>
      <c r="D48" s="46"/>
    </row>
    <row r="49" spans="2:4">
      <c r="B49" s="47"/>
      <c r="C49" s="46">
        <f t="shared" si="6"/>
        <v>50</v>
      </c>
      <c r="D49" s="46"/>
    </row>
    <row r="50" spans="2:4">
      <c r="B50" s="47"/>
      <c r="C50" s="46">
        <f t="shared" si="6"/>
        <v>55</v>
      </c>
      <c r="D50" s="46"/>
    </row>
    <row r="51" spans="2:4">
      <c r="B51" s="47"/>
      <c r="C51" s="46">
        <f t="shared" si="6"/>
        <v>60</v>
      </c>
      <c r="D51" s="46"/>
    </row>
    <row r="52" spans="2:4">
      <c r="C52" s="46">
        <f t="shared" si="6"/>
        <v>65</v>
      </c>
      <c r="D52" s="46"/>
    </row>
    <row r="53" spans="2:4">
      <c r="C53" s="46">
        <f t="shared" si="6"/>
        <v>70</v>
      </c>
      <c r="D53" s="46"/>
    </row>
    <row r="54" spans="2:4">
      <c r="C54" s="46">
        <v>75</v>
      </c>
      <c r="D54" s="46"/>
    </row>
  </sheetData>
  <mergeCells count="3">
    <mergeCell ref="C8:H8"/>
    <mergeCell ref="I8:K8"/>
    <mergeCell ref="L8:N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9EB15-941D-CF42-845A-9A8E8FB52CC4}">
  <dimension ref="B2:G27"/>
  <sheetViews>
    <sheetView tabSelected="1" zoomScale="90" zoomScaleNormal="90" workbookViewId="0">
      <selection activeCell="T12" sqref="T12"/>
    </sheetView>
  </sheetViews>
  <sheetFormatPr baseColWidth="10" defaultRowHeight="25"/>
  <cols>
    <col min="1" max="1" width="10.83203125" style="60"/>
    <col min="2" max="2" width="28.33203125" style="60" bestFit="1" customWidth="1"/>
    <col min="3" max="7" width="10.6640625" style="60" bestFit="1" customWidth="1"/>
    <col min="8" max="8" width="10.83203125" style="60"/>
    <col min="9" max="9" width="28.33203125" style="60" bestFit="1" customWidth="1"/>
    <col min="10" max="16384" width="10.83203125" style="60"/>
  </cols>
  <sheetData>
    <row r="2" spans="2:7">
      <c r="B2" s="54" t="s">
        <v>21</v>
      </c>
      <c r="C2" s="55" t="s">
        <v>27</v>
      </c>
      <c r="D2" s="55" t="s">
        <v>28</v>
      </c>
      <c r="E2" s="55" t="s">
        <v>29</v>
      </c>
      <c r="F2" s="55" t="s">
        <v>30</v>
      </c>
      <c r="G2" s="55" t="s">
        <v>31</v>
      </c>
    </row>
    <row r="3" spans="2:7">
      <c r="B3" s="54" t="s">
        <v>26</v>
      </c>
      <c r="C3" s="54">
        <v>0.27</v>
      </c>
      <c r="D3" s="54">
        <v>0.37</v>
      </c>
      <c r="E3" s="54">
        <v>0.47</v>
      </c>
      <c r="F3" s="54">
        <v>0.56999999999999995</v>
      </c>
      <c r="G3" s="54">
        <v>0.67</v>
      </c>
    </row>
    <row r="4" spans="2:7">
      <c r="B4" s="55" t="s">
        <v>25</v>
      </c>
      <c r="C4" s="55">
        <v>0.8</v>
      </c>
      <c r="D4" s="55">
        <v>0.8</v>
      </c>
      <c r="E4" s="55">
        <v>0.8</v>
      </c>
      <c r="F4" s="55">
        <v>0.8</v>
      </c>
      <c r="G4" s="55">
        <v>0.8</v>
      </c>
    </row>
    <row r="5" spans="2:7">
      <c r="B5" s="55" t="s">
        <v>24</v>
      </c>
      <c r="C5" s="55">
        <v>5</v>
      </c>
      <c r="D5" s="55">
        <v>5</v>
      </c>
      <c r="E5" s="55">
        <v>5</v>
      </c>
      <c r="F5" s="55">
        <v>5</v>
      </c>
      <c r="G5" s="55">
        <v>5</v>
      </c>
    </row>
    <row r="6" spans="2:7">
      <c r="B6" s="55" t="s">
        <v>0</v>
      </c>
      <c r="C6" s="55">
        <v>45</v>
      </c>
      <c r="D6" s="55">
        <v>45</v>
      </c>
      <c r="E6" s="55">
        <v>45</v>
      </c>
      <c r="F6" s="55">
        <v>45</v>
      </c>
      <c r="G6" s="55">
        <v>45</v>
      </c>
    </row>
    <row r="7" spans="2:7">
      <c r="B7" s="55" t="s">
        <v>32</v>
      </c>
      <c r="C7" s="55">
        <v>25</v>
      </c>
      <c r="D7" s="55">
        <v>25</v>
      </c>
      <c r="E7" s="55">
        <v>25</v>
      </c>
      <c r="F7" s="55">
        <v>25</v>
      </c>
      <c r="G7" s="55">
        <v>25</v>
      </c>
    </row>
    <row r="8" spans="2:7">
      <c r="B8" s="55" t="s">
        <v>2</v>
      </c>
      <c r="C8" s="55">
        <v>36.479999999999997</v>
      </c>
      <c r="D8" s="55">
        <v>31.92</v>
      </c>
      <c r="E8" s="55">
        <v>28.49</v>
      </c>
      <c r="F8" s="55">
        <v>25.79</v>
      </c>
      <c r="G8" s="55">
        <v>23.61</v>
      </c>
    </row>
    <row r="9" spans="2:7">
      <c r="B9" s="55" t="s">
        <v>33</v>
      </c>
      <c r="C9" s="55">
        <v>3.03</v>
      </c>
      <c r="D9" s="55">
        <v>2.9</v>
      </c>
      <c r="E9" s="55">
        <v>2.78</v>
      </c>
      <c r="F9" s="55">
        <v>2.68</v>
      </c>
      <c r="G9" s="55">
        <v>2.59</v>
      </c>
    </row>
    <row r="11" spans="2:7">
      <c r="B11" s="56" t="s">
        <v>23</v>
      </c>
      <c r="C11" s="57" t="s">
        <v>27</v>
      </c>
      <c r="D11" s="57" t="s">
        <v>28</v>
      </c>
      <c r="E11" s="57" t="s">
        <v>29</v>
      </c>
      <c r="F11" s="57" t="s">
        <v>30</v>
      </c>
      <c r="G11" s="57" t="s">
        <v>31</v>
      </c>
    </row>
    <row r="12" spans="2:7">
      <c r="B12" s="58" t="s">
        <v>26</v>
      </c>
      <c r="C12" s="59">
        <v>0.47</v>
      </c>
      <c r="D12" s="59">
        <v>0.47</v>
      </c>
      <c r="E12" s="59">
        <v>0.47</v>
      </c>
      <c r="F12" s="59">
        <v>0.47</v>
      </c>
      <c r="G12" s="59">
        <v>0.47</v>
      </c>
    </row>
    <row r="13" spans="2:7">
      <c r="B13" s="61" t="s">
        <v>25</v>
      </c>
      <c r="C13" s="62">
        <v>0.6</v>
      </c>
      <c r="D13" s="62">
        <v>0.7</v>
      </c>
      <c r="E13" s="62">
        <v>0.8</v>
      </c>
      <c r="F13" s="62">
        <v>0.9</v>
      </c>
      <c r="G13" s="63">
        <v>1</v>
      </c>
    </row>
    <row r="14" spans="2:7">
      <c r="B14" s="58" t="s">
        <v>24</v>
      </c>
      <c r="C14" s="59">
        <v>5</v>
      </c>
      <c r="D14" s="59">
        <v>5</v>
      </c>
      <c r="E14" s="59">
        <v>5</v>
      </c>
      <c r="F14" s="59">
        <v>5</v>
      </c>
      <c r="G14" s="59">
        <v>5</v>
      </c>
    </row>
    <row r="15" spans="2:7">
      <c r="B15" s="58" t="s">
        <v>0</v>
      </c>
      <c r="C15" s="59">
        <v>45</v>
      </c>
      <c r="D15" s="59">
        <v>45</v>
      </c>
      <c r="E15" s="59">
        <v>45</v>
      </c>
      <c r="F15" s="59">
        <v>45</v>
      </c>
      <c r="G15" s="59">
        <v>45</v>
      </c>
    </row>
    <row r="16" spans="2:7">
      <c r="B16" s="58" t="s">
        <v>32</v>
      </c>
      <c r="C16" s="59">
        <v>25</v>
      </c>
      <c r="D16" s="59">
        <v>25</v>
      </c>
      <c r="E16" s="59">
        <v>25</v>
      </c>
      <c r="F16" s="59">
        <v>25</v>
      </c>
      <c r="G16" s="59">
        <v>25</v>
      </c>
    </row>
    <row r="17" spans="2:7">
      <c r="B17" s="58" t="s">
        <v>2</v>
      </c>
      <c r="C17" s="59">
        <v>36.78</v>
      </c>
      <c r="D17" s="59">
        <v>32.32</v>
      </c>
      <c r="E17" s="59">
        <v>28.49</v>
      </c>
      <c r="F17" s="59">
        <v>25.21</v>
      </c>
      <c r="G17" s="59">
        <v>22.41</v>
      </c>
    </row>
    <row r="18" spans="2:7">
      <c r="B18" s="55" t="s">
        <v>33</v>
      </c>
      <c r="C18" s="55">
        <v>3.04</v>
      </c>
      <c r="D18" s="55">
        <v>2.91</v>
      </c>
      <c r="E18" s="55">
        <v>2.78</v>
      </c>
      <c r="F18" s="55">
        <v>2.66</v>
      </c>
      <c r="G18" s="55">
        <v>2.54</v>
      </c>
    </row>
    <row r="20" spans="2:7">
      <c r="B20" s="56" t="s">
        <v>22</v>
      </c>
      <c r="C20" s="57" t="s">
        <v>27</v>
      </c>
      <c r="D20" s="57" t="s">
        <v>28</v>
      </c>
      <c r="E20" s="57" t="s">
        <v>29</v>
      </c>
      <c r="F20" s="57" t="s">
        <v>30</v>
      </c>
      <c r="G20" s="57" t="s">
        <v>31</v>
      </c>
    </row>
    <row r="21" spans="2:7">
      <c r="B21" s="58" t="s">
        <v>26</v>
      </c>
      <c r="C21" s="59">
        <v>0.47</v>
      </c>
      <c r="D21" s="59">
        <v>0.47</v>
      </c>
      <c r="E21" s="59">
        <v>0.47</v>
      </c>
      <c r="F21" s="59">
        <v>0.47</v>
      </c>
      <c r="G21" s="59">
        <v>0.47</v>
      </c>
    </row>
    <row r="22" spans="2:7">
      <c r="B22" s="58" t="s">
        <v>25</v>
      </c>
      <c r="C22" s="59">
        <v>0.8</v>
      </c>
      <c r="D22" s="59">
        <v>0.8</v>
      </c>
      <c r="E22" s="59">
        <v>0.8</v>
      </c>
      <c r="F22" s="59">
        <v>0.8</v>
      </c>
      <c r="G22" s="59">
        <v>0.8</v>
      </c>
    </row>
    <row r="23" spans="2:7">
      <c r="B23" s="61" t="s">
        <v>24</v>
      </c>
      <c r="C23" s="62">
        <v>3</v>
      </c>
      <c r="D23" s="62">
        <v>4</v>
      </c>
      <c r="E23" s="62">
        <v>5</v>
      </c>
      <c r="F23" s="62">
        <v>6</v>
      </c>
      <c r="G23" s="62">
        <v>7</v>
      </c>
    </row>
    <row r="24" spans="2:7">
      <c r="B24" s="58" t="s">
        <v>0</v>
      </c>
      <c r="C24" s="59">
        <v>45</v>
      </c>
      <c r="D24" s="59">
        <v>45</v>
      </c>
      <c r="E24" s="59">
        <v>45</v>
      </c>
      <c r="F24" s="59">
        <v>45</v>
      </c>
      <c r="G24" s="59">
        <v>45</v>
      </c>
    </row>
    <row r="25" spans="2:7">
      <c r="B25" s="58" t="s">
        <v>32</v>
      </c>
      <c r="C25" s="59">
        <v>25</v>
      </c>
      <c r="D25" s="59">
        <v>25</v>
      </c>
      <c r="E25" s="59">
        <v>25</v>
      </c>
      <c r="F25" s="59">
        <v>25</v>
      </c>
      <c r="G25" s="59">
        <v>25</v>
      </c>
    </row>
    <row r="26" spans="2:7">
      <c r="B26" s="58" t="s">
        <v>2</v>
      </c>
      <c r="C26" s="59">
        <v>21.58</v>
      </c>
      <c r="D26" s="59">
        <v>25.38</v>
      </c>
      <c r="E26" s="59">
        <v>28.49</v>
      </c>
      <c r="F26" s="59">
        <v>31.1</v>
      </c>
      <c r="G26" s="59">
        <v>33.33</v>
      </c>
    </row>
    <row r="27" spans="2:7">
      <c r="B27" s="55" t="s">
        <v>33</v>
      </c>
      <c r="C27" s="55">
        <v>2.5</v>
      </c>
      <c r="D27" s="55">
        <v>2.66</v>
      </c>
      <c r="E27" s="55">
        <v>2.78</v>
      </c>
      <c r="F27" s="55">
        <v>2.87</v>
      </c>
      <c r="G27" s="55">
        <v>2.94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4</vt:i4>
      </vt:variant>
    </vt:vector>
  </HeadingPairs>
  <TitlesOfParts>
    <vt:vector size="6" baseType="lpstr">
      <vt:lpstr>Sheet1</vt:lpstr>
      <vt:lpstr>Drag</vt:lpstr>
      <vt:lpstr>Chart 1</vt:lpstr>
      <vt:lpstr>Chart 2</vt:lpstr>
      <vt:lpstr>Chart 3</vt:lpstr>
      <vt:lpstr>Chart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2022-02-17T17:40:26Z</dcterms:created>
  <dcterms:modified xsi:type="dcterms:W3CDTF">2022-02-25T01:19:15Z</dcterms:modified>
</cp:coreProperties>
</file>