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esktop/Physics/Lab/Homework:Lab/4 - Uniform Circular Motion/"/>
    </mc:Choice>
  </mc:AlternateContent>
  <xr:revisionPtr revIDLastSave="0" documentId="13_ncr:1_{70B37913-B413-3A48-B60D-B517F244A34B}" xr6:coauthVersionLast="47" xr6:coauthVersionMax="47" xr10:uidLastSave="{00000000-0000-0000-0000-000000000000}"/>
  <bookViews>
    <workbookView xWindow="1600" yWindow="500" windowWidth="28700" windowHeight="20080" activeTab="3" xr2:uid="{741A908F-745C-C84D-B32F-E8434BB94D71}"/>
  </bookViews>
  <sheets>
    <sheet name="Sheet1" sheetId="1" r:id="rId1"/>
    <sheet name="Part A" sheetId="2" r:id="rId2"/>
    <sheet name="Part B" sheetId="3" r:id="rId3"/>
    <sheet name="Part 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8" i="1" l="1"/>
  <c r="G18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1" i="1"/>
  <c r="G21" i="1" s="1"/>
  <c r="F20" i="1"/>
  <c r="G20" i="1" s="1"/>
  <c r="F19" i="1"/>
  <c r="G19" i="1" s="1"/>
  <c r="F12" i="1"/>
  <c r="G12" i="1" s="1"/>
  <c r="F13" i="1"/>
  <c r="G13" i="1" s="1"/>
  <c r="F14" i="1"/>
  <c r="G14" i="1" s="1"/>
  <c r="F15" i="1"/>
  <c r="G15" i="1" s="1"/>
  <c r="F11" i="1"/>
  <c r="G11" i="1" s="1"/>
</calcChain>
</file>

<file path=xl/sharedStrings.xml><?xml version="1.0" encoding="utf-8"?>
<sst xmlns="http://schemas.openxmlformats.org/spreadsheetml/2006/main" count="24" uniqueCount="10">
  <si>
    <t>Angular Velocity (⍵) (rad/s)</t>
  </si>
  <si>
    <t xml:space="preserve">calculate ⍵ </t>
  </si>
  <si>
    <t>% difference ⍵</t>
  </si>
  <si>
    <t>Hanging mass (kg)</t>
  </si>
  <si>
    <t>Part A</t>
  </si>
  <si>
    <t>Part B</t>
  </si>
  <si>
    <t>Part C</t>
  </si>
  <si>
    <t>Weight (N)</t>
  </si>
  <si>
    <t>Bob mass (kg)</t>
  </si>
  <si>
    <t>Radius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</si>
</sst>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3">
    <font>
      <sz val="12"/>
      <color theme="1"/>
      <name val="TimesNewRomanPSMT"/>
      <family val="2"/>
    </font>
    <font>
      <b/>
      <sz val="12"/>
      <color theme="1"/>
      <name val="TimesNewRomanPSMT"/>
    </font>
    <font>
      <b/>
      <u/>
      <sz val="12"/>
      <color theme="1"/>
      <name val="TimesNewRomanPSM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0" borderId="0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Angular Velocity vs 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23528659616107014"/>
                  <c:y val="1.65307272280652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Sheet1!$D$3:$D$8</c:f>
              <c:numCache>
                <c:formatCode>General</c:formatCode>
                <c:ptCount val="6"/>
                <c:pt idx="0">
                  <c:v>2.6509999999999998</c:v>
                </c:pt>
                <c:pt idx="1">
                  <c:v>3.2490000000000001</c:v>
                </c:pt>
                <c:pt idx="2">
                  <c:v>3.532</c:v>
                </c:pt>
                <c:pt idx="3">
                  <c:v>4.0110000000000001</c:v>
                </c:pt>
                <c:pt idx="4">
                  <c:v>4.2789999999999999</c:v>
                </c:pt>
                <c:pt idx="5">
                  <c:v>4.5510000000000002</c:v>
                </c:pt>
              </c:numCache>
            </c:numRef>
          </c:xVal>
          <c:yVal>
            <c:numRef>
              <c:f>Sheet1!$B$3:$B$8</c:f>
              <c:numCache>
                <c:formatCode>General</c:formatCode>
                <c:ptCount val="6"/>
                <c:pt idx="0">
                  <c:v>0.14699999999999999</c:v>
                </c:pt>
                <c:pt idx="1">
                  <c:v>0.245</c:v>
                </c:pt>
                <c:pt idx="2">
                  <c:v>0.34300000000000003</c:v>
                </c:pt>
                <c:pt idx="3">
                  <c:v>0.441</c:v>
                </c:pt>
                <c:pt idx="4">
                  <c:v>0.53900000000000003</c:v>
                </c:pt>
                <c:pt idx="5">
                  <c:v>0.63700000000000001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CC-2046-9FC5-37456A806D56}"/>
            </c:ext>
          </c:extLst>
        </c:ser>
        <c:ser>
          <c:idx val="1"/>
          <c:order val="1"/>
          <c:tx>
            <c:v>Theoretical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forward val="2"/>
            <c:dispRSqr val="0"/>
            <c:dispEq val="0"/>
          </c:trendline>
          <c:xVal>
            <c:numRef>
              <c:f>Sheet1!$F$3:$F$8</c:f>
              <c:numCache>
                <c:formatCode>0.0000</c:formatCode>
                <c:ptCount val="6"/>
                <c:pt idx="0">
                  <c:v>2.1633395952539454</c:v>
                </c:pt>
                <c:pt idx="1">
                  <c:v>2.7928594082032085</c:v>
                </c:pt>
                <c:pt idx="2">
                  <c:v>3.3045558163821118</c:v>
                </c:pt>
                <c:pt idx="3">
                  <c:v>3.7470140930053244</c:v>
                </c:pt>
                <c:pt idx="4">
                  <c:v>4.1424799435575048</c:v>
                </c:pt>
                <c:pt idx="5">
                  <c:v>4.5033504807389635</c:v>
                </c:pt>
              </c:numCache>
            </c:numRef>
          </c:xVal>
          <c:yVal>
            <c:numRef>
              <c:f>Sheet1!$B$3:$B$8</c:f>
              <c:numCache>
                <c:formatCode>General</c:formatCode>
                <c:ptCount val="6"/>
                <c:pt idx="0">
                  <c:v>0.14699999999999999</c:v>
                </c:pt>
                <c:pt idx="1">
                  <c:v>0.245</c:v>
                </c:pt>
                <c:pt idx="2">
                  <c:v>0.34300000000000003</c:v>
                </c:pt>
                <c:pt idx="3">
                  <c:v>0.441</c:v>
                </c:pt>
                <c:pt idx="4">
                  <c:v>0.53900000000000003</c:v>
                </c:pt>
                <c:pt idx="5">
                  <c:v>0.63700000000000001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CCC-2046-9FC5-37456A806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172848"/>
        <c:axId val="548361984"/>
      </c:scatterChart>
      <c:valAx>
        <c:axId val="597172848"/>
        <c:scaling>
          <c:orientation val="minMax"/>
          <c:max val="5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Angular</a:t>
                </a:r>
                <a:r>
                  <a:rPr lang="en-US" sz="1600" baseline="0">
                    <a:solidFill>
                      <a:sysClr val="windowText" lastClr="000000"/>
                    </a:solidFill>
                  </a:rPr>
                  <a:t> Velocity (rad/s)</a:t>
                </a:r>
                <a:endParaRPr lang="en-US" sz="16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61984"/>
        <c:crosses val="autoZero"/>
        <c:crossBetween val="midCat"/>
      </c:valAx>
      <c:valAx>
        <c:axId val="548361984"/>
        <c:scaling>
          <c:orientation val="minMax"/>
          <c:max val="0.70000000000000007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172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1"/>
                </a:solidFill>
              </a:rPr>
              <a:t>Angular</a:t>
            </a:r>
            <a:r>
              <a:rPr lang="en-US" sz="2400" baseline="0">
                <a:solidFill>
                  <a:schemeClr val="tx1"/>
                </a:solidFill>
              </a:rPr>
              <a:t> Velocity vs Rotating Mass</a:t>
            </a:r>
            <a:endParaRPr lang="en-US" sz="24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23716310527354353"/>
                  <c:y val="-7.58622782596150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Sheet1!$D$11:$D$15</c:f>
              <c:numCache>
                <c:formatCode>General</c:formatCode>
                <c:ptCount val="5"/>
                <c:pt idx="0">
                  <c:v>6.2075800000000001</c:v>
                </c:pt>
                <c:pt idx="1">
                  <c:v>5.1178939999999997</c:v>
                </c:pt>
                <c:pt idx="2">
                  <c:v>4.4534000000000002</c:v>
                </c:pt>
                <c:pt idx="3">
                  <c:v>4.0234160000000001</c:v>
                </c:pt>
                <c:pt idx="4">
                  <c:v>3.7173820000000002</c:v>
                </c:pt>
              </c:numCache>
            </c:numRef>
          </c:xVal>
          <c:yVal>
            <c:numRef>
              <c:f>Sheet1!$C$11:$C$15</c:f>
              <c:numCache>
                <c:formatCode>General</c:formatCode>
                <c:ptCount val="5"/>
                <c:pt idx="0">
                  <c:v>0.107</c:v>
                </c:pt>
                <c:pt idx="1">
                  <c:v>0.15740000000000001</c:v>
                </c:pt>
                <c:pt idx="2">
                  <c:v>0.20780000000000001</c:v>
                </c:pt>
                <c:pt idx="3">
                  <c:v>0.25929999999999997</c:v>
                </c:pt>
                <c:pt idx="4">
                  <c:v>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99-974E-A629-3F9BAF0D0A63}"/>
            </c:ext>
          </c:extLst>
        </c:ser>
        <c:ser>
          <c:idx val="1"/>
          <c:order val="1"/>
          <c:tx>
            <c:v>Theoretical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Sheet1!$F$11:$F$15</c:f>
              <c:numCache>
                <c:formatCode>0.0000</c:formatCode>
                <c:ptCount val="5"/>
                <c:pt idx="0">
                  <c:v>5.7950456872343956</c:v>
                </c:pt>
                <c:pt idx="1">
                  <c:v>4.77800268046912</c:v>
                </c:pt>
                <c:pt idx="2">
                  <c:v>4.1583973122597264</c:v>
                </c:pt>
                <c:pt idx="3">
                  <c:v>3.7226096145316356</c:v>
                </c:pt>
                <c:pt idx="4">
                  <c:v>3.4046141997974404</c:v>
                </c:pt>
              </c:numCache>
            </c:numRef>
          </c:xVal>
          <c:yVal>
            <c:numRef>
              <c:f>Sheet1!$C$11:$C$15</c:f>
              <c:numCache>
                <c:formatCode>General</c:formatCode>
                <c:ptCount val="5"/>
                <c:pt idx="0">
                  <c:v>0.107</c:v>
                </c:pt>
                <c:pt idx="1">
                  <c:v>0.15740000000000001</c:v>
                </c:pt>
                <c:pt idx="2">
                  <c:v>0.20780000000000001</c:v>
                </c:pt>
                <c:pt idx="3">
                  <c:v>0.25929999999999997</c:v>
                </c:pt>
                <c:pt idx="4">
                  <c:v>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99-974E-A629-3F9BAF0D0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242560"/>
        <c:axId val="641244528"/>
      </c:scatterChart>
      <c:valAx>
        <c:axId val="601242560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Angular Velocity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44528"/>
        <c:crosses val="autoZero"/>
        <c:crossBetween val="midCat"/>
      </c:valAx>
      <c:valAx>
        <c:axId val="641244528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Rotating</a:t>
                </a:r>
                <a:r>
                  <a:rPr lang="en-US" sz="1600" baseline="0">
                    <a:solidFill>
                      <a:schemeClr val="tx1"/>
                    </a:solidFill>
                  </a:rPr>
                  <a:t> Mass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4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1"/>
                </a:solidFill>
              </a:rPr>
              <a:t>Angular Velocity vs Radius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1534460321623755"/>
                  <c:y val="-3.08292342828597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Sheet1!$D$18:$D$21</c:f>
              <c:numCache>
                <c:formatCode>General</c:formatCode>
                <c:ptCount val="4"/>
                <c:pt idx="0">
                  <c:v>3.8092000000000001</c:v>
                </c:pt>
                <c:pt idx="1">
                  <c:v>3.5733000000000001</c:v>
                </c:pt>
                <c:pt idx="2">
                  <c:v>3.4933999999999998</c:v>
                </c:pt>
                <c:pt idx="3">
                  <c:v>3.3668</c:v>
                </c:pt>
              </c:numCache>
            </c:numRef>
          </c:xVal>
          <c:yVal>
            <c:numRef>
              <c:f>Sheet1!$E$18:$E$21</c:f>
              <c:numCache>
                <c:formatCode>General</c:formatCode>
                <c:ptCount val="4"/>
                <c:pt idx="0">
                  <c:v>0.13</c:v>
                </c:pt>
                <c:pt idx="1">
                  <c:v>0.14000000000000001</c:v>
                </c:pt>
                <c:pt idx="2">
                  <c:v>0.15</c:v>
                </c:pt>
                <c:pt idx="3">
                  <c:v>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73-8349-9A6F-A49239B85409}"/>
            </c:ext>
          </c:extLst>
        </c:ser>
        <c:ser>
          <c:idx val="1"/>
          <c:order val="1"/>
          <c:tx>
            <c:v>Theoretical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Sheet1!$F$18:$F$21</c:f>
              <c:numCache>
                <c:formatCode>0.0000</c:formatCode>
                <c:ptCount val="4"/>
                <c:pt idx="0">
                  <c:v>3.5615883033561802</c:v>
                </c:pt>
                <c:pt idx="1">
                  <c:v>3.4320323649182209</c:v>
                </c:pt>
                <c:pt idx="2">
                  <c:v>3.3156582670096966</c:v>
                </c:pt>
                <c:pt idx="3">
                  <c:v>3.210372312460875</c:v>
                </c:pt>
              </c:numCache>
            </c:numRef>
          </c:xVal>
          <c:yVal>
            <c:numRef>
              <c:f>Sheet1!$E$18:$E$21</c:f>
              <c:numCache>
                <c:formatCode>General</c:formatCode>
                <c:ptCount val="4"/>
                <c:pt idx="0">
                  <c:v>0.13</c:v>
                </c:pt>
                <c:pt idx="1">
                  <c:v>0.14000000000000001</c:v>
                </c:pt>
                <c:pt idx="2">
                  <c:v>0.15</c:v>
                </c:pt>
                <c:pt idx="3">
                  <c:v>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73-8349-9A6F-A49239B85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630624"/>
        <c:axId val="598443152"/>
      </c:scatterChart>
      <c:valAx>
        <c:axId val="598630624"/>
        <c:scaling>
          <c:orientation val="minMax"/>
          <c:max val="3.8299999999999996"/>
          <c:min val="3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Angular Velocity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443152"/>
        <c:crosses val="autoZero"/>
        <c:crossBetween val="midCat"/>
      </c:valAx>
      <c:valAx>
        <c:axId val="598443152"/>
        <c:scaling>
          <c:orientation val="minMax"/>
          <c:max val="0.16100000000000003"/>
          <c:min val="0.1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Radius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3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4A93C0-913E-834F-9009-B99603B9EABA}">
  <sheetPr/>
  <sheetViews>
    <sheetView zoomScale="15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2AD015-D818-C748-80C0-ACB072EC36DE}">
  <sheetPr/>
  <sheetViews>
    <sheetView zoomScale="15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4E17E5-48E2-ED40-A775-9137AAAB382C}">
  <sheetPr/>
  <sheetViews>
    <sheetView tabSelected="1" zoomScale="15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1013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A9D29-E379-6B44-AFBC-EF0BE723E0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81013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49C4A-6C42-7B4B-BEAB-EC6C0A4C01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81013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A85D1-4A5A-0245-9940-0C0D9CA8F2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6ABA-033F-5645-AA2F-54A5B5F66F22}">
  <dimension ref="A2:I23"/>
  <sheetViews>
    <sheetView zoomScale="150" zoomScaleNormal="150" workbookViewId="0">
      <selection activeCell="E24" sqref="E24"/>
    </sheetView>
  </sheetViews>
  <sheetFormatPr baseColWidth="10" defaultRowHeight="16"/>
  <cols>
    <col min="1" max="1" width="7.1640625" style="1" bestFit="1" customWidth="1"/>
    <col min="2" max="2" width="15.83203125" style="1" customWidth="1"/>
    <col min="3" max="3" width="16.5" style="1" customWidth="1"/>
    <col min="4" max="4" width="26.83203125" style="1" customWidth="1"/>
    <col min="5" max="5" width="11.33203125" style="1" customWidth="1"/>
    <col min="6" max="6" width="13" style="1" bestFit="1" customWidth="1"/>
    <col min="7" max="7" width="15.1640625" style="1" customWidth="1"/>
    <col min="8" max="8" width="19.33203125" style="1" customWidth="1"/>
    <col min="9" max="9" width="24.33203125" style="1" bestFit="1" customWidth="1"/>
    <col min="10" max="10" width="14.6640625" style="1" bestFit="1" customWidth="1"/>
    <col min="11" max="13" width="10.83203125" style="1"/>
    <col min="14" max="14" width="24.33203125" style="1" bestFit="1" customWidth="1"/>
    <col min="15" max="15" width="14" style="1" bestFit="1" customWidth="1"/>
    <col min="16" max="16384" width="10.83203125" style="1"/>
  </cols>
  <sheetData>
    <row r="2" spans="1:8">
      <c r="A2" s="5" t="s">
        <v>4</v>
      </c>
      <c r="B2" s="8" t="s">
        <v>7</v>
      </c>
      <c r="C2" s="2" t="s">
        <v>8</v>
      </c>
      <c r="D2" s="2" t="s">
        <v>0</v>
      </c>
      <c r="E2" s="2" t="s">
        <v>9</v>
      </c>
      <c r="F2" s="2" t="s">
        <v>1</v>
      </c>
      <c r="G2" s="2" t="s">
        <v>2</v>
      </c>
      <c r="H2" s="2" t="s">
        <v>3</v>
      </c>
    </row>
    <row r="3" spans="1:8">
      <c r="A3" s="4"/>
      <c r="B3" s="3">
        <v>0.14699999999999999</v>
      </c>
      <c r="C3" s="3">
        <v>0.2094</v>
      </c>
      <c r="D3" s="3">
        <v>2.6509999999999998</v>
      </c>
      <c r="E3" s="3">
        <v>0.15</v>
      </c>
      <c r="F3" s="6">
        <f>SQRT(B3/(E3*C3))</f>
        <v>2.1633395952539454</v>
      </c>
      <c r="G3" s="10">
        <f>((D3-F3)/F3)*100</f>
        <v>22.542018174858487</v>
      </c>
      <c r="H3" s="3">
        <v>6.5000000000000002E-2</v>
      </c>
    </row>
    <row r="4" spans="1:8">
      <c r="A4" s="4"/>
      <c r="B4" s="3">
        <v>0.245</v>
      </c>
      <c r="C4" s="3">
        <v>0.2094</v>
      </c>
      <c r="D4" s="3">
        <v>3.2490000000000001</v>
      </c>
      <c r="E4" s="3">
        <v>0.15</v>
      </c>
      <c r="F4" s="6">
        <f>SQRT(B4/(E4*C4))</f>
        <v>2.7928594082032085</v>
      </c>
      <c r="G4" s="10">
        <f t="shared" ref="G4:G8" si="0">((D4-F4)/F4)*100</f>
        <v>16.332386458731573</v>
      </c>
      <c r="H4" s="3">
        <v>5.5E-2</v>
      </c>
    </row>
    <row r="5" spans="1:8">
      <c r="A5" s="4"/>
      <c r="B5" s="3">
        <v>0.34300000000000003</v>
      </c>
      <c r="C5" s="3">
        <v>0.2094</v>
      </c>
      <c r="D5" s="3">
        <v>3.532</v>
      </c>
      <c r="E5" s="3">
        <v>0.15</v>
      </c>
      <c r="F5" s="6">
        <f>SQRT(B5/(E5*C5))</f>
        <v>3.3045558163821118</v>
      </c>
      <c r="G5" s="10">
        <f t="shared" si="0"/>
        <v>6.8827460105333689</v>
      </c>
      <c r="H5" s="3">
        <v>4.4999999999999998E-2</v>
      </c>
    </row>
    <row r="6" spans="1:8">
      <c r="A6" s="4"/>
      <c r="B6" s="3">
        <v>0.441</v>
      </c>
      <c r="C6" s="3">
        <v>0.2094</v>
      </c>
      <c r="D6" s="3">
        <v>4.0110000000000001</v>
      </c>
      <c r="E6" s="3">
        <v>0.15</v>
      </c>
      <c r="F6" s="6">
        <f>SQRT(B6/(E6*C6))</f>
        <v>3.7470140930053244</v>
      </c>
      <c r="G6" s="10">
        <f t="shared" si="0"/>
        <v>7.0452338967036985</v>
      </c>
      <c r="H6" s="3">
        <v>3.5000000000000003E-2</v>
      </c>
    </row>
    <row r="7" spans="1:8">
      <c r="A7" s="4"/>
      <c r="B7" s="3">
        <v>0.53900000000000003</v>
      </c>
      <c r="C7" s="3">
        <v>0.2094</v>
      </c>
      <c r="D7" s="3">
        <v>4.2789999999999999</v>
      </c>
      <c r="E7" s="3">
        <v>0.15</v>
      </c>
      <c r="F7" s="6">
        <f t="shared" ref="F7:F8" si="1">SQRT(B7/(E7*C7))</f>
        <v>4.1424799435575048</v>
      </c>
      <c r="G7" s="10">
        <f t="shared" si="0"/>
        <v>3.2956117664447531</v>
      </c>
      <c r="H7" s="3">
        <v>2.5000000000000001E-2</v>
      </c>
    </row>
    <row r="8" spans="1:8">
      <c r="A8" s="4"/>
      <c r="B8" s="3">
        <v>0.63700000000000001</v>
      </c>
      <c r="C8" s="3">
        <v>0.2094</v>
      </c>
      <c r="D8" s="3">
        <v>4.5510000000000002</v>
      </c>
      <c r="E8" s="3">
        <v>0.15</v>
      </c>
      <c r="F8" s="6">
        <f t="shared" si="1"/>
        <v>4.5033504807389635</v>
      </c>
      <c r="G8" s="10">
        <f t="shared" si="0"/>
        <v>1.0580904032416718</v>
      </c>
      <c r="H8" s="3">
        <v>1.4999999999999999E-2</v>
      </c>
    </row>
    <row r="9" spans="1:8">
      <c r="A9" s="4"/>
      <c r="B9" s="4"/>
      <c r="C9" s="4"/>
      <c r="D9" s="4"/>
      <c r="E9" s="4"/>
      <c r="F9" s="7"/>
      <c r="G9" s="4"/>
      <c r="H9" s="4"/>
    </row>
    <row r="10" spans="1:8">
      <c r="A10" s="5" t="s">
        <v>5</v>
      </c>
      <c r="B10" s="2" t="s">
        <v>7</v>
      </c>
      <c r="C10" s="8" t="s">
        <v>8</v>
      </c>
      <c r="D10" s="2" t="s">
        <v>0</v>
      </c>
      <c r="E10" s="2" t="s">
        <v>9</v>
      </c>
      <c r="F10" s="2" t="s">
        <v>1</v>
      </c>
      <c r="G10" s="2" t="s">
        <v>2</v>
      </c>
      <c r="H10" s="2" t="s">
        <v>3</v>
      </c>
    </row>
    <row r="11" spans="1:8">
      <c r="A11" s="4"/>
      <c r="B11" s="3">
        <v>0.53900000000000003</v>
      </c>
      <c r="C11" s="3">
        <v>0.107</v>
      </c>
      <c r="D11" s="3">
        <v>6.2075800000000001</v>
      </c>
      <c r="E11" s="3">
        <v>0.15</v>
      </c>
      <c r="F11" s="6">
        <f>SQRT(B11/(E11*C11))</f>
        <v>5.7950456872343956</v>
      </c>
      <c r="G11" s="10">
        <f>((D11-F11)/F11)*100</f>
        <v>7.1187413357992124</v>
      </c>
      <c r="H11" s="3">
        <v>0.55000000000000004</v>
      </c>
    </row>
    <row r="12" spans="1:8">
      <c r="A12" s="4"/>
      <c r="B12" s="3">
        <v>0.53900000000000003</v>
      </c>
      <c r="C12" s="3">
        <v>0.15740000000000001</v>
      </c>
      <c r="D12" s="3">
        <v>5.1178939999999997</v>
      </c>
      <c r="E12" s="3">
        <v>0.15</v>
      </c>
      <c r="F12" s="6">
        <f t="shared" ref="F12:F15" si="2">SQRT(B12/(E12*C12))</f>
        <v>4.77800268046912</v>
      </c>
      <c r="G12" s="10">
        <f>((D12-F12)/F12)*100</f>
        <v>7.1136695029544867</v>
      </c>
      <c r="H12" s="3">
        <v>0.55000000000000004</v>
      </c>
    </row>
    <row r="13" spans="1:8">
      <c r="A13" s="4"/>
      <c r="B13" s="3">
        <v>0.53900000000000003</v>
      </c>
      <c r="C13" s="3">
        <v>0.20780000000000001</v>
      </c>
      <c r="D13" s="3">
        <v>4.4534000000000002</v>
      </c>
      <c r="E13" s="3">
        <v>0.15</v>
      </c>
      <c r="F13" s="6">
        <f t="shared" si="2"/>
        <v>4.1583973122597264</v>
      </c>
      <c r="G13" s="10">
        <f>((D13-F13)/F13)*100</f>
        <v>7.0941438633232847</v>
      </c>
      <c r="H13" s="3">
        <v>0.55000000000000004</v>
      </c>
    </row>
    <row r="14" spans="1:8">
      <c r="A14" s="4"/>
      <c r="B14" s="3">
        <v>0.53900000000000003</v>
      </c>
      <c r="C14" s="3">
        <v>0.25929999999999997</v>
      </c>
      <c r="D14" s="3">
        <v>4.0234160000000001</v>
      </c>
      <c r="E14" s="3">
        <v>0.15</v>
      </c>
      <c r="F14" s="6">
        <f t="shared" si="2"/>
        <v>3.7226096145316356</v>
      </c>
      <c r="G14" s="10">
        <f>((D14-F14)/F14)*100</f>
        <v>8.0805245947394564</v>
      </c>
      <c r="H14" s="3">
        <v>0.55000000000000004</v>
      </c>
    </row>
    <row r="15" spans="1:8">
      <c r="A15" s="4"/>
      <c r="B15" s="3">
        <v>0.53900000000000003</v>
      </c>
      <c r="C15" s="3">
        <v>0.31</v>
      </c>
      <c r="D15" s="3">
        <v>3.7173820000000002</v>
      </c>
      <c r="E15" s="3">
        <v>0.15</v>
      </c>
      <c r="F15" s="6">
        <f t="shared" si="2"/>
        <v>3.4046141997974404</v>
      </c>
      <c r="G15" s="10">
        <f t="shared" ref="G15" si="3">((D15-F15)/F15)*100</f>
        <v>9.1865856701522333</v>
      </c>
      <c r="H15" s="3">
        <v>0.55000000000000004</v>
      </c>
    </row>
    <row r="17" spans="1:9">
      <c r="A17" s="5" t="s">
        <v>6</v>
      </c>
      <c r="B17" s="2" t="s">
        <v>7</v>
      </c>
      <c r="C17" s="2" t="s">
        <v>8</v>
      </c>
      <c r="D17" s="2" t="s">
        <v>0</v>
      </c>
      <c r="E17" s="8" t="s">
        <v>9</v>
      </c>
      <c r="F17" s="2" t="s">
        <v>1</v>
      </c>
      <c r="G17" s="2" t="s">
        <v>2</v>
      </c>
      <c r="H17" s="2" t="s">
        <v>3</v>
      </c>
    </row>
    <row r="18" spans="1:9">
      <c r="A18" s="4"/>
      <c r="B18" s="3">
        <v>0.34300000000000003</v>
      </c>
      <c r="C18" s="3">
        <v>0.20799999999999999</v>
      </c>
      <c r="D18" s="3">
        <v>3.8092000000000001</v>
      </c>
      <c r="E18" s="3">
        <v>0.13</v>
      </c>
      <c r="F18" s="6">
        <f>SQRT(B18/(E18*C18))</f>
        <v>3.5615883033561802</v>
      </c>
      <c r="G18" s="10">
        <f>((D18-F18)/F18)*100</f>
        <v>6.9522829578727237</v>
      </c>
      <c r="H18" s="3">
        <v>3.5000000000000003E-2</v>
      </c>
      <c r="I18" s="9"/>
    </row>
    <row r="19" spans="1:9">
      <c r="A19" s="4"/>
      <c r="B19" s="3">
        <v>0.34300000000000003</v>
      </c>
      <c r="C19" s="3">
        <v>0.20799999999999999</v>
      </c>
      <c r="D19" s="3">
        <v>3.5733000000000001</v>
      </c>
      <c r="E19" s="3">
        <v>0.14000000000000001</v>
      </c>
      <c r="F19" s="6">
        <f>SQRT(B19/(E19*C19))</f>
        <v>3.4320323649182209</v>
      </c>
      <c r="G19" s="10">
        <f t="shared" ref="G19:G21" si="4">((D19-F19)/F19)*100</f>
        <v>4.1161510166919806</v>
      </c>
      <c r="H19" s="3">
        <v>3.5000000000000003E-2</v>
      </c>
    </row>
    <row r="20" spans="1:9">
      <c r="A20" s="4"/>
      <c r="B20" s="3">
        <v>0.34300000000000003</v>
      </c>
      <c r="C20" s="3">
        <v>0.20799999999999999</v>
      </c>
      <c r="D20" s="3">
        <v>3.4933999999999998</v>
      </c>
      <c r="E20" s="3">
        <v>0.15</v>
      </c>
      <c r="F20" s="6">
        <f>SQRT(B20/(E20*C20))</f>
        <v>3.3156582670096966</v>
      </c>
      <c r="G20" s="10">
        <f t="shared" si="4"/>
        <v>5.360677086622796</v>
      </c>
      <c r="H20" s="3">
        <v>3.5000000000000003E-2</v>
      </c>
    </row>
    <row r="21" spans="1:9">
      <c r="A21" s="4"/>
      <c r="B21" s="3">
        <v>0.34300000000000003</v>
      </c>
      <c r="C21" s="3">
        <v>0.20799999999999999</v>
      </c>
      <c r="D21" s="3">
        <v>3.3668</v>
      </c>
      <c r="E21" s="3">
        <v>0.16</v>
      </c>
      <c r="F21" s="6">
        <f>SQRT(B21/(E21*C21))</f>
        <v>3.210372312460875</v>
      </c>
      <c r="G21" s="10">
        <f t="shared" si="4"/>
        <v>4.8725715373248146</v>
      </c>
      <c r="H21" s="3">
        <v>3.5000000000000003E-2</v>
      </c>
    </row>
    <row r="22" spans="1:9">
      <c r="A22" s="4"/>
    </row>
    <row r="23" spans="1:9">
      <c r="A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Sheet1</vt:lpstr>
      <vt:lpstr>Part A</vt:lpstr>
      <vt:lpstr>Part B</vt:lpstr>
      <vt:lpstr>Part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2022-04-01T19:48:20Z</dcterms:created>
  <dcterms:modified xsi:type="dcterms:W3CDTF">2022-04-07T22:59:38Z</dcterms:modified>
</cp:coreProperties>
</file>