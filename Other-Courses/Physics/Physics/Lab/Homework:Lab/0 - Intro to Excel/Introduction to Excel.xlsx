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esktop/Physics/Lab/Homework/0 - Intro to Excel/"/>
    </mc:Choice>
  </mc:AlternateContent>
  <xr:revisionPtr revIDLastSave="0" documentId="13_ncr:1_{D9B5F46B-4D9B-0D41-AC49-F162935D9C4F}" xr6:coauthVersionLast="47" xr6:coauthVersionMax="47" xr10:uidLastSave="{00000000-0000-0000-0000-000000000000}"/>
  <bookViews>
    <workbookView xWindow="15180" yWindow="500" windowWidth="20660" windowHeight="20020" activeTab="2" xr2:uid="{CB4867D3-FBA9-1C4F-BD4E-5502187D75EF}"/>
  </bookViews>
  <sheets>
    <sheet name="Velocity vs Time" sheetId="1" r:id="rId1"/>
    <sheet name="Chart 1" sheetId="2" r:id="rId2"/>
    <sheet name="Chart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3" i="1"/>
  <c r="E3" i="1" s="1"/>
</calcChain>
</file>

<file path=xl/sharedStrings.xml><?xml version="1.0" encoding="utf-8"?>
<sst xmlns="http://schemas.openxmlformats.org/spreadsheetml/2006/main" count="4" uniqueCount="4">
  <si>
    <t>Velocity (mph)</t>
  </si>
  <si>
    <t>Time (s)</t>
  </si>
  <si>
    <t>Velocity (m/s)</t>
  </si>
  <si>
    <t>Kinetic Energy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</si>
</sst>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2"/>
      <color theme="1"/>
      <name val="TimesNewRomanPSMT"/>
      <family val="2"/>
    </font>
    <font>
      <sz val="18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Velocity</a:t>
            </a:r>
            <a:r>
              <a:rPr lang="en-US" sz="2000" baseline="0">
                <a:solidFill>
                  <a:schemeClr val="tx1"/>
                </a:solidFill>
              </a:rPr>
              <a:t>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370471034010795"/>
                  <c:y val="-4.77413601402062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'Velocity vs Time'!$B$3:$B$13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'Velocity vs Time'!$D$3:$D$13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0.17600000000000002</c:v>
                </c:pt>
                <c:pt idx="2">
                  <c:v>0.308</c:v>
                </c:pt>
                <c:pt idx="3">
                  <c:v>0.35200000000000004</c:v>
                </c:pt>
                <c:pt idx="4">
                  <c:v>0.748</c:v>
                </c:pt>
                <c:pt idx="5">
                  <c:v>0.83599999999999997</c:v>
                </c:pt>
                <c:pt idx="6">
                  <c:v>1.056</c:v>
                </c:pt>
                <c:pt idx="7">
                  <c:v>1.32</c:v>
                </c:pt>
                <c:pt idx="8">
                  <c:v>1.6280000000000001</c:v>
                </c:pt>
                <c:pt idx="9">
                  <c:v>1.8480000000000001</c:v>
                </c:pt>
                <c:pt idx="10">
                  <c:v>2.0680000000000001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AC-4A40-929C-9C09B004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380479"/>
        <c:axId val="1559594671"/>
      </c:scatterChart>
      <c:valAx>
        <c:axId val="174838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Time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(s)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94671"/>
        <c:crosses val="autoZero"/>
        <c:crossBetween val="midCat"/>
      </c:valAx>
      <c:valAx>
        <c:axId val="15595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Velocity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(m/s)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380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Kinetic</a:t>
            </a:r>
            <a:r>
              <a:rPr lang="en-US" sz="2000" baseline="0">
                <a:solidFill>
                  <a:schemeClr val="tx1"/>
                </a:solidFill>
              </a:rPr>
              <a:t> Energy vs Time</a:t>
            </a:r>
            <a:endParaRPr lang="en-US" sz="20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2.0105224639941785E-2"/>
                  <c:y val="2.599474850992312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</a:rPr>
                      <a:t>y = 0.0071x</a:t>
                    </a:r>
                    <a:r>
                      <a:rPr lang="en-US" baseline="30000">
                        <a:solidFill>
                          <a:schemeClr val="tx1"/>
                        </a:solidFill>
                      </a:rPr>
                      <a:t>2</a:t>
                    </a:r>
                    <a:r>
                      <a:rPr lang="en-US" baseline="0">
                        <a:solidFill>
                          <a:schemeClr val="tx1"/>
                        </a:solidFill>
                      </a:rPr>
                      <a:t> - 0.0184x + 0.0103</a:t>
                    </a:r>
                    <a:endParaRPr lang="en-US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'Velocity vs Time'!$B$3:$B$13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'Velocity vs Time'!$E$3:$E$13</c:f>
              <c:numCache>
                <c:formatCode>0.000</c:formatCode>
                <c:ptCount val="11"/>
                <c:pt idx="0" formatCode="General">
                  <c:v>0</c:v>
                </c:pt>
                <c:pt idx="1">
                  <c:v>3.8720000000000009E-3</c:v>
                </c:pt>
                <c:pt idx="2">
                  <c:v>1.1858E-2</c:v>
                </c:pt>
                <c:pt idx="3">
                  <c:v>1.5488000000000004E-2</c:v>
                </c:pt>
                <c:pt idx="4">
                  <c:v>6.9938E-2</c:v>
                </c:pt>
                <c:pt idx="5">
                  <c:v>8.7361999999999995E-2</c:v>
                </c:pt>
                <c:pt idx="6">
                  <c:v>0.13939200000000002</c:v>
                </c:pt>
                <c:pt idx="7">
                  <c:v>0.21780000000000002</c:v>
                </c:pt>
                <c:pt idx="8">
                  <c:v>0.33129800000000004</c:v>
                </c:pt>
                <c:pt idx="9">
                  <c:v>0.42688800000000005</c:v>
                </c:pt>
                <c:pt idx="10">
                  <c:v>0.534578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51-8248-BF76-18BB5363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676863"/>
        <c:axId val="1755710383"/>
      </c:scatterChart>
      <c:valAx>
        <c:axId val="175567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Time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(s)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710383"/>
        <c:crosses val="autoZero"/>
        <c:crossBetween val="midCat"/>
      </c:valAx>
      <c:valAx>
        <c:axId val="175571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Kinetic</a:t>
                </a:r>
                <a:r>
                  <a:rPr lang="en-US" sz="1600" baseline="0">
                    <a:solidFill>
                      <a:schemeClr val="tx1"/>
                    </a:solidFill>
                  </a:rPr>
                  <a:t> Enerhy (m/s^2)</a:t>
                </a:r>
                <a:endParaRPr lang="en-US" sz="16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67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7C71CA-E5A8-AE48-A295-B3B1B1572F50}">
  <sheetPr/>
  <sheetViews>
    <sheetView zoomScale="14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B5E373-B2F8-B34F-AD6A-AE06E714BFB3}">
  <sheetPr/>
  <sheetViews>
    <sheetView tabSelected="1" zoomScale="14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4014" cy="62808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E5C13-687D-4B42-B22C-E283E04328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4014" cy="62808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9AF94-C6BB-F845-91CA-CAB389512E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2D61-A952-6F40-A0BE-30D593B1AFCA}">
  <dimension ref="B2:E13"/>
  <sheetViews>
    <sheetView workbookViewId="0">
      <selection activeCell="E3" sqref="E3"/>
    </sheetView>
  </sheetViews>
  <sheetFormatPr baseColWidth="10" defaultRowHeight="23"/>
  <cols>
    <col min="1" max="1" width="10.83203125" style="1"/>
    <col min="2" max="2" width="11.83203125" style="1" bestFit="1" customWidth="1"/>
    <col min="3" max="3" width="20.1640625" style="1" bestFit="1" customWidth="1"/>
    <col min="4" max="4" width="19.1640625" style="1" bestFit="1" customWidth="1"/>
    <col min="5" max="5" width="30.33203125" style="1" bestFit="1" customWidth="1"/>
    <col min="6" max="16384" width="10.83203125" style="1"/>
  </cols>
  <sheetData>
    <row r="2" spans="2:5">
      <c r="B2" s="2" t="s">
        <v>1</v>
      </c>
      <c r="C2" s="2" t="s">
        <v>0</v>
      </c>
      <c r="D2" s="2" t="s">
        <v>2</v>
      </c>
      <c r="E2" s="2" t="s">
        <v>3</v>
      </c>
    </row>
    <row r="3" spans="2:5">
      <c r="B3" s="2">
        <v>0</v>
      </c>
      <c r="C3" s="2">
        <v>0</v>
      </c>
      <c r="D3" s="2">
        <f>0.44*C3</f>
        <v>0</v>
      </c>
      <c r="E3" s="2">
        <f>(1/2)*0.25*D3^2</f>
        <v>0</v>
      </c>
    </row>
    <row r="4" spans="2:5">
      <c r="B4" s="2">
        <v>1</v>
      </c>
      <c r="C4" s="2">
        <v>0.4</v>
      </c>
      <c r="D4" s="3">
        <f t="shared" ref="D4:D13" si="0">0.44*C4</f>
        <v>0.17600000000000002</v>
      </c>
      <c r="E4" s="4">
        <f t="shared" ref="E4:E13" si="1">(1/2)*0.25*D4^2</f>
        <v>3.8720000000000009E-3</v>
      </c>
    </row>
    <row r="5" spans="2:5">
      <c r="B5" s="2">
        <v>2</v>
      </c>
      <c r="C5" s="2">
        <v>0.7</v>
      </c>
      <c r="D5" s="3">
        <f t="shared" si="0"/>
        <v>0.308</v>
      </c>
      <c r="E5" s="4">
        <f t="shared" si="1"/>
        <v>1.1858E-2</v>
      </c>
    </row>
    <row r="6" spans="2:5">
      <c r="B6" s="2">
        <v>3</v>
      </c>
      <c r="C6" s="2">
        <v>0.8</v>
      </c>
      <c r="D6" s="3">
        <f t="shared" si="0"/>
        <v>0.35200000000000004</v>
      </c>
      <c r="E6" s="4">
        <f t="shared" si="1"/>
        <v>1.5488000000000004E-2</v>
      </c>
    </row>
    <row r="7" spans="2:5">
      <c r="B7" s="2">
        <v>4</v>
      </c>
      <c r="C7" s="2">
        <v>1.7</v>
      </c>
      <c r="D7" s="3">
        <f t="shared" si="0"/>
        <v>0.748</v>
      </c>
      <c r="E7" s="4">
        <f t="shared" si="1"/>
        <v>6.9938E-2</v>
      </c>
    </row>
    <row r="8" spans="2:5">
      <c r="B8" s="2">
        <v>5</v>
      </c>
      <c r="C8" s="2">
        <v>1.9</v>
      </c>
      <c r="D8" s="3">
        <f t="shared" si="0"/>
        <v>0.83599999999999997</v>
      </c>
      <c r="E8" s="4">
        <f t="shared" si="1"/>
        <v>8.7361999999999995E-2</v>
      </c>
    </row>
    <row r="9" spans="2:5">
      <c r="B9" s="2">
        <v>6</v>
      </c>
      <c r="C9" s="2">
        <v>2.4</v>
      </c>
      <c r="D9" s="3">
        <f t="shared" si="0"/>
        <v>1.056</v>
      </c>
      <c r="E9" s="4">
        <f t="shared" si="1"/>
        <v>0.13939200000000002</v>
      </c>
    </row>
    <row r="10" spans="2:5">
      <c r="B10" s="2">
        <v>7</v>
      </c>
      <c r="C10" s="2">
        <v>3</v>
      </c>
      <c r="D10" s="3">
        <f t="shared" si="0"/>
        <v>1.32</v>
      </c>
      <c r="E10" s="4">
        <f t="shared" si="1"/>
        <v>0.21780000000000002</v>
      </c>
    </row>
    <row r="11" spans="2:5">
      <c r="B11" s="2">
        <v>8</v>
      </c>
      <c r="C11" s="2">
        <v>3.7</v>
      </c>
      <c r="D11" s="3">
        <f t="shared" si="0"/>
        <v>1.6280000000000001</v>
      </c>
      <c r="E11" s="4">
        <f t="shared" si="1"/>
        <v>0.33129800000000004</v>
      </c>
    </row>
    <row r="12" spans="2:5">
      <c r="B12" s="2">
        <v>9</v>
      </c>
      <c r="C12" s="2">
        <v>4.2</v>
      </c>
      <c r="D12" s="3">
        <f t="shared" si="0"/>
        <v>1.8480000000000001</v>
      </c>
      <c r="E12" s="4">
        <f t="shared" si="1"/>
        <v>0.42688800000000005</v>
      </c>
    </row>
    <row r="13" spans="2:5">
      <c r="B13" s="2">
        <v>10</v>
      </c>
      <c r="C13" s="2">
        <v>4.7</v>
      </c>
      <c r="D13" s="3">
        <f t="shared" si="0"/>
        <v>2.0680000000000001</v>
      </c>
      <c r="E13" s="4">
        <f t="shared" si="1"/>
        <v>0.534578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Velocity vs Time</vt:lpstr>
      <vt:lpstr>Chart 1</vt:lpstr>
      <vt:lpstr>Chart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2022-01-17T18:54:48Z</dcterms:created>
  <dcterms:modified xsi:type="dcterms:W3CDTF">2022-01-24T19:48:10Z</dcterms:modified>
</cp:coreProperties>
</file>