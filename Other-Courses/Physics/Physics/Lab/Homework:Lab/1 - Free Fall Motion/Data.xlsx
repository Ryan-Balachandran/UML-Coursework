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Physics/Lab/Homework:Lab/1 - Free Fall Motion/"/>
    </mc:Choice>
  </mc:AlternateContent>
  <xr:revisionPtr revIDLastSave="0" documentId="13_ncr:1_{410FFBD4-9A3E-834B-A91D-17DFD5F28DBA}" xr6:coauthVersionLast="47" xr6:coauthVersionMax="47" xr10:uidLastSave="{00000000-0000-0000-0000-000000000000}"/>
  <bookViews>
    <workbookView xWindow="0" yWindow="500" windowWidth="35840" windowHeight="20080" xr2:uid="{3560F14D-50F3-F340-8DA4-0706239E575A}"/>
  </bookViews>
  <sheets>
    <sheet name="Data" sheetId="1" r:id="rId1"/>
    <sheet name="Chart 1" sheetId="2" r:id="rId2"/>
    <sheet name="Chart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H12" i="1" s="1"/>
  <c r="F13" i="1"/>
  <c r="F14" i="1"/>
  <c r="F15" i="1"/>
  <c r="F16" i="1"/>
  <c r="F17" i="1"/>
  <c r="F18" i="1"/>
  <c r="F19" i="1"/>
  <c r="F20" i="1"/>
  <c r="F21" i="1"/>
  <c r="F22" i="1"/>
  <c r="F5" i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E18" i="1"/>
  <c r="G18" i="1" s="1"/>
  <c r="E19" i="1"/>
  <c r="G19" i="1" s="1"/>
  <c r="E20" i="1"/>
  <c r="G20" i="1" s="1"/>
  <c r="E21" i="1"/>
  <c r="G21" i="1" s="1"/>
  <c r="E22" i="1"/>
  <c r="G22" i="1" s="1"/>
  <c r="E5" i="1"/>
  <c r="G5" i="1" s="1"/>
  <c r="H17" i="1" l="1"/>
  <c r="H9" i="1"/>
  <c r="H5" i="1"/>
  <c r="H22" i="1"/>
  <c r="H21" i="1"/>
  <c r="H20" i="1"/>
  <c r="H8" i="1"/>
  <c r="H11" i="1"/>
  <c r="H10" i="1"/>
  <c r="H19" i="1"/>
  <c r="H7" i="1"/>
  <c r="H18" i="1"/>
  <c r="H16" i="1"/>
  <c r="H15" i="1"/>
  <c r="H14" i="1"/>
  <c r="H6" i="1"/>
  <c r="H13" i="1"/>
  <c r="G17" i="1"/>
</calcChain>
</file>

<file path=xl/sharedStrings.xml><?xml version="1.0" encoding="utf-8"?>
<sst xmlns="http://schemas.openxmlformats.org/spreadsheetml/2006/main" count="11" uniqueCount="11">
  <si>
    <t>Time      t          (s)</t>
  </si>
  <si>
    <t>Time interval  △t                 (s)</t>
  </si>
  <si>
    <t>△x/△t =</t>
  </si>
  <si>
    <r>
      <t>Midpoint time  t</t>
    </r>
    <r>
      <rPr>
        <vertAlign val="subscript"/>
        <sz val="18"/>
        <color theme="1"/>
        <rFont val="Times New Roman"/>
        <family val="1"/>
      </rPr>
      <t>mid</t>
    </r>
    <r>
      <rPr>
        <sz val="18"/>
        <color theme="1"/>
        <rFont val="Times New Roman"/>
        <family val="1"/>
      </rPr>
      <t xml:space="preserve">                   (s)</t>
    </r>
  </si>
  <si>
    <r>
      <t>Average Velocity V</t>
    </r>
    <r>
      <rPr>
        <vertAlign val="subscript"/>
        <sz val="18"/>
        <color theme="1"/>
        <rFont val="Times New Roman"/>
        <family val="1"/>
      </rPr>
      <t xml:space="preserve">ave                       </t>
    </r>
    <r>
      <rPr>
        <sz val="18"/>
        <color theme="1"/>
        <rFont val="Times New Roman"/>
        <family val="1"/>
      </rPr>
      <t xml:space="preserve"> (m/s)</t>
    </r>
  </si>
  <si>
    <r>
      <t>x</t>
    </r>
    <r>
      <rPr>
        <vertAlign val="subscript"/>
        <sz val="18"/>
        <color theme="1"/>
        <rFont val="Times New Roman"/>
        <family val="1"/>
      </rPr>
      <t xml:space="preserve">0 </t>
    </r>
    <r>
      <rPr>
        <sz val="18"/>
        <color theme="1"/>
        <rFont val="Times New Roman"/>
        <family val="1"/>
      </rPr>
      <t>= 0</t>
    </r>
    <r>
      <rPr>
        <vertAlign val="subscript"/>
        <sz val="18"/>
        <color theme="1"/>
        <rFont val="Times New Roman"/>
        <family val="1"/>
      </rPr>
      <t xml:space="preserve"> </t>
    </r>
  </si>
  <si>
    <r>
      <t>(t</t>
    </r>
    <r>
      <rPr>
        <vertAlign val="subscript"/>
        <sz val="18"/>
        <color theme="1"/>
        <rFont val="Times New Roman"/>
        <family val="1"/>
      </rPr>
      <t xml:space="preserve">1 </t>
    </r>
    <r>
      <rPr>
        <sz val="18"/>
        <color theme="1"/>
        <rFont val="Times New Roman"/>
        <family val="1"/>
      </rPr>
      <t>- t</t>
    </r>
    <r>
      <rPr>
        <vertAlign val="subscript"/>
        <sz val="18"/>
        <color theme="1"/>
        <rFont val="Times New Roman"/>
        <family val="1"/>
      </rPr>
      <t>0</t>
    </r>
    <r>
      <rPr>
        <sz val="18"/>
        <color theme="1"/>
        <rFont val="Times New Roman"/>
        <family val="1"/>
      </rPr>
      <t>)/2 =</t>
    </r>
  </si>
  <si>
    <r>
      <rPr>
        <b/>
        <sz val="18"/>
        <color theme="1"/>
        <rFont val="Times New Roman"/>
        <family val="1"/>
      </rPr>
      <t>Displacement</t>
    </r>
    <r>
      <rPr>
        <sz val="18"/>
        <color theme="1"/>
        <rFont val="Times New Roman"/>
        <family val="1"/>
      </rPr>
      <t xml:space="preserve">       x                      (m)</t>
    </r>
  </si>
  <si>
    <r>
      <rPr>
        <b/>
        <sz val="18"/>
        <color theme="1"/>
        <rFont val="Times New Roman"/>
        <family val="1"/>
      </rPr>
      <t>Distance Interval</t>
    </r>
    <r>
      <rPr>
        <sz val="18"/>
        <color theme="1"/>
        <rFont val="Times New Roman"/>
        <family val="1"/>
      </rPr>
      <t xml:space="preserve"> △x                     (m)</t>
    </r>
  </si>
  <si>
    <r>
      <t>t</t>
    </r>
    <r>
      <rPr>
        <vertAlign val="subscript"/>
        <sz val="18"/>
        <color theme="1"/>
        <rFont val="Times New Roman"/>
        <family val="1"/>
      </rPr>
      <t xml:space="preserve">1 </t>
    </r>
    <r>
      <rPr>
        <sz val="18"/>
        <color theme="1"/>
        <rFont val="Times New Roman"/>
        <family val="1"/>
      </rPr>
      <t>- t</t>
    </r>
    <r>
      <rPr>
        <vertAlign val="subscript"/>
        <sz val="18"/>
        <color theme="1"/>
        <rFont val="Times New Roman"/>
        <family val="1"/>
      </rPr>
      <t>0</t>
    </r>
    <r>
      <rPr>
        <sz val="18"/>
        <color theme="1"/>
        <rFont val="Times New Roman"/>
        <family val="1"/>
      </rPr>
      <t xml:space="preserve"> = </t>
    </r>
  </si>
  <si>
    <r>
      <t>x</t>
    </r>
    <r>
      <rPr>
        <vertAlign val="subscript"/>
        <sz val="18"/>
        <color theme="1"/>
        <rFont val="Times New Roman"/>
        <family val="1"/>
      </rPr>
      <t xml:space="preserve">1 </t>
    </r>
    <r>
      <rPr>
        <sz val="18"/>
        <color theme="1"/>
        <rFont val="Times New Roman"/>
        <family val="1"/>
      </rPr>
      <t>- x</t>
    </r>
    <r>
      <rPr>
        <vertAlign val="subscript"/>
        <sz val="18"/>
        <color theme="1"/>
        <rFont val="Times New Roman"/>
        <family val="1"/>
      </rPr>
      <t>0</t>
    </r>
    <r>
      <rPr>
        <sz val="18"/>
        <color theme="1"/>
        <rFont val="Times New Roman"/>
        <family val="1"/>
      </rPr>
      <t xml:space="preserve"> =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</si>
</sst>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TimesNewRomanPSMT"/>
      <family val="2"/>
    </font>
    <font>
      <sz val="18"/>
      <color theme="1"/>
      <name val="Times New Roman"/>
      <family val="1"/>
    </font>
    <font>
      <vertAlign val="subscript"/>
      <sz val="18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Instantaneous</a:t>
            </a:r>
            <a:r>
              <a:rPr lang="en-US" sz="2000" baseline="0">
                <a:solidFill>
                  <a:schemeClr val="tx1"/>
                </a:solidFill>
              </a:rPr>
              <a:t> Velocity Vs. Time</a:t>
            </a:r>
            <a:endParaRPr lang="en-US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2669458314573963E-3"/>
                  <c:y val="-3.779149576555014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chemeClr val="tx1"/>
                        </a:solidFill>
                      </a:rPr>
                      <a:t>y = 8.9642x - 0.0969</a:t>
                    </a:r>
                    <a:endParaRPr lang="en-US" sz="10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Data!$C$4:$C$22</c:f>
              <c:numCache>
                <c:formatCode>General</c:formatCode>
                <c:ptCount val="19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</c:numCache>
            </c:numRef>
          </c:xVal>
          <c:yVal>
            <c:numRef>
              <c:f>Data!$H$4:$H$22</c:f>
              <c:numCache>
                <c:formatCode>General</c:formatCode>
                <c:ptCount val="19"/>
                <c:pt idx="0">
                  <c:v>0</c:v>
                </c:pt>
                <c:pt idx="1">
                  <c:v>0.43999999999999995</c:v>
                </c:pt>
                <c:pt idx="2">
                  <c:v>0.64</c:v>
                </c:pt>
                <c:pt idx="3">
                  <c:v>0.12</c:v>
                </c:pt>
                <c:pt idx="4">
                  <c:v>0.48</c:v>
                </c:pt>
                <c:pt idx="5">
                  <c:v>1.2</c:v>
                </c:pt>
                <c:pt idx="6">
                  <c:v>1.1600000000000008</c:v>
                </c:pt>
                <c:pt idx="7">
                  <c:v>1.4000000000000004</c:v>
                </c:pt>
                <c:pt idx="8">
                  <c:v>1.6399999999999977</c:v>
                </c:pt>
                <c:pt idx="9">
                  <c:v>1.880000000000001</c:v>
                </c:pt>
                <c:pt idx="10">
                  <c:v>2.0800000000000014</c:v>
                </c:pt>
                <c:pt idx="11">
                  <c:v>2.4199999999999977</c:v>
                </c:pt>
                <c:pt idx="12">
                  <c:v>2.5000000000000036</c:v>
                </c:pt>
                <c:pt idx="13">
                  <c:v>2.8799999999999955</c:v>
                </c:pt>
                <c:pt idx="14">
                  <c:v>3.0000000000000067</c:v>
                </c:pt>
                <c:pt idx="15">
                  <c:v>3.4399999999999955</c:v>
                </c:pt>
                <c:pt idx="16">
                  <c:v>3.5599999999999956</c:v>
                </c:pt>
                <c:pt idx="17">
                  <c:v>3.6800000000000037</c:v>
                </c:pt>
                <c:pt idx="18">
                  <c:v>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1-BB48-BA7C-C5530682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960176"/>
        <c:axId val="1573961856"/>
      </c:scatterChart>
      <c:valAx>
        <c:axId val="157396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Time</a:t>
                </a:r>
                <a:r>
                  <a:rPr lang="en-US" sz="1400" baseline="0">
                    <a:solidFill>
                      <a:schemeClr val="tx1"/>
                    </a:solidFill>
                  </a:rPr>
                  <a:t> (seconds)</a:t>
                </a:r>
                <a:endParaRPr lang="en-US" sz="14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61856"/>
        <c:crosses val="autoZero"/>
        <c:crossBetween val="midCat"/>
      </c:valAx>
      <c:valAx>
        <c:axId val="15739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Instantaneous</a:t>
                </a:r>
                <a:r>
                  <a:rPr lang="en-US" sz="1400" baseline="0">
                    <a:solidFill>
                      <a:schemeClr val="tx1"/>
                    </a:solidFill>
                  </a:rPr>
                  <a:t> Velocity (m/s)</a:t>
                </a:r>
                <a:endParaRPr lang="en-US" sz="14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6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Displacement</a:t>
            </a:r>
            <a:r>
              <a:rPr lang="en-US" sz="2000" baseline="0">
                <a:solidFill>
                  <a:schemeClr val="tx1"/>
                </a:solidFill>
              </a:rPr>
              <a:t> Vs. Time</a:t>
            </a:r>
            <a:endParaRPr lang="en-US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8.777140045520054E-3"/>
                  <c:y val="-2.56720274645031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Data!$C$4:$C$22</c:f>
              <c:numCache>
                <c:formatCode>General</c:formatCode>
                <c:ptCount val="19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</c:numCache>
            </c:numRef>
          </c:xVal>
          <c:yVal>
            <c:numRef>
              <c:f>Data!$D$4:$D$22</c:f>
              <c:numCache>
                <c:formatCode>General</c:formatCode>
                <c:ptCount val="19"/>
                <c:pt idx="0">
                  <c:v>0</c:v>
                </c:pt>
                <c:pt idx="1">
                  <c:v>1.0999999999999999E-2</c:v>
                </c:pt>
                <c:pt idx="2">
                  <c:v>2.7E-2</c:v>
                </c:pt>
                <c:pt idx="3">
                  <c:v>0.03</c:v>
                </c:pt>
                <c:pt idx="4">
                  <c:v>4.2000000000000003E-2</c:v>
                </c:pt>
                <c:pt idx="5">
                  <c:v>7.1999999999999995E-2</c:v>
                </c:pt>
                <c:pt idx="6">
                  <c:v>0.10100000000000001</c:v>
                </c:pt>
                <c:pt idx="7">
                  <c:v>0.13600000000000001</c:v>
                </c:pt>
                <c:pt idx="8">
                  <c:v>0.17699999999999999</c:v>
                </c:pt>
                <c:pt idx="9">
                  <c:v>0.224</c:v>
                </c:pt>
                <c:pt idx="10">
                  <c:v>0.27600000000000002</c:v>
                </c:pt>
                <c:pt idx="11">
                  <c:v>0.33650000000000002</c:v>
                </c:pt>
                <c:pt idx="12">
                  <c:v>0.39900000000000002</c:v>
                </c:pt>
                <c:pt idx="13">
                  <c:v>0.47099999999999997</c:v>
                </c:pt>
                <c:pt idx="14">
                  <c:v>0.54600000000000004</c:v>
                </c:pt>
                <c:pt idx="15">
                  <c:v>0.63200000000000001</c:v>
                </c:pt>
                <c:pt idx="16">
                  <c:v>0.72099999999999997</c:v>
                </c:pt>
                <c:pt idx="17">
                  <c:v>0.81299999999999994</c:v>
                </c:pt>
                <c:pt idx="18">
                  <c:v>0.91200000000000003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B-F34A-B6A1-243A4722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218160"/>
        <c:axId val="2051897504"/>
      </c:scatterChart>
      <c:valAx>
        <c:axId val="205121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97504"/>
        <c:crosses val="autoZero"/>
        <c:crossBetween val="midCat"/>
      </c:valAx>
      <c:valAx>
        <c:axId val="20518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Displacement (meters)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1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6AA25C-C965-D948-A624-A93483C81529}">
  <sheetPr/>
  <sheetViews>
    <sheetView zoomScale="15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77FB99-D733-B740-B828-CC3BFE1B9748}">
  <sheetPr/>
  <sheetViews>
    <sheetView zoomScale="15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2327" cy="62940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92A61-E1B4-7B4F-8A88-4AD65DAE98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2327" cy="62940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7F99A-D8F8-7F4A-A4B4-8399C40632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02F4-F480-7C43-962B-DAB0306B6100}">
  <dimension ref="B1:H22"/>
  <sheetViews>
    <sheetView tabSelected="1" workbookViewId="0">
      <selection activeCell="C27" sqref="C27"/>
    </sheetView>
  </sheetViews>
  <sheetFormatPr baseColWidth="10" defaultRowHeight="23"/>
  <cols>
    <col min="1" max="1" width="10.83203125" style="1" customWidth="1"/>
    <col min="2" max="2" width="10.83203125" style="1"/>
    <col min="3" max="3" width="13.1640625" style="1" bestFit="1" customWidth="1"/>
    <col min="4" max="4" width="19" style="1" bestFit="1" customWidth="1"/>
    <col min="5" max="5" width="18" style="1" bestFit="1" customWidth="1"/>
    <col min="6" max="6" width="24" style="1" bestFit="1" customWidth="1"/>
    <col min="7" max="7" width="23.83203125" style="1" bestFit="1" customWidth="1"/>
    <col min="8" max="8" width="23.1640625" style="1" bestFit="1" customWidth="1"/>
    <col min="9" max="16384" width="10.83203125" style="1"/>
  </cols>
  <sheetData>
    <row r="1" spans="2:8" ht="24" thickBot="1"/>
    <row r="2" spans="2:8" ht="76">
      <c r="B2" s="3"/>
      <c r="C2" s="4" t="s">
        <v>0</v>
      </c>
      <c r="D2" s="4" t="s">
        <v>7</v>
      </c>
      <c r="E2" s="4" t="s">
        <v>1</v>
      </c>
      <c r="F2" s="4" t="s">
        <v>8</v>
      </c>
      <c r="G2" s="4" t="s">
        <v>3</v>
      </c>
      <c r="H2" s="5" t="s">
        <v>4</v>
      </c>
    </row>
    <row r="3" spans="2:8" ht="27">
      <c r="B3" s="6"/>
      <c r="C3" s="2"/>
      <c r="D3" s="2" t="s">
        <v>5</v>
      </c>
      <c r="E3" s="2" t="s">
        <v>9</v>
      </c>
      <c r="F3" s="2" t="s">
        <v>10</v>
      </c>
      <c r="G3" s="2" t="s">
        <v>6</v>
      </c>
      <c r="H3" s="7" t="s">
        <v>2</v>
      </c>
    </row>
    <row r="4" spans="2:8">
      <c r="B4" s="6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7">
        <v>0</v>
      </c>
    </row>
    <row r="5" spans="2:8">
      <c r="B5" s="6">
        <v>1</v>
      </c>
      <c r="C5" s="2">
        <v>2.5000000000000001E-2</v>
      </c>
      <c r="D5" s="2">
        <v>1.0999999999999999E-2</v>
      </c>
      <c r="E5" s="2">
        <f>C5-C4</f>
        <v>2.5000000000000001E-2</v>
      </c>
      <c r="F5" s="2">
        <f>D5-D4</f>
        <v>1.0999999999999999E-2</v>
      </c>
      <c r="G5" s="2">
        <f>E5/2</f>
        <v>1.2500000000000001E-2</v>
      </c>
      <c r="H5" s="7">
        <f>F5/E5</f>
        <v>0.43999999999999995</v>
      </c>
    </row>
    <row r="6" spans="2:8">
      <c r="B6" s="6">
        <v>2</v>
      </c>
      <c r="C6" s="2">
        <v>0.05</v>
      </c>
      <c r="D6" s="2">
        <v>2.7E-2</v>
      </c>
      <c r="E6" s="2">
        <f t="shared" ref="E6:E22" si="0">C6-C5</f>
        <v>2.5000000000000001E-2</v>
      </c>
      <c r="F6" s="2">
        <f t="shared" ref="F6:F22" si="1">D6-D5</f>
        <v>1.6E-2</v>
      </c>
      <c r="G6" s="2">
        <f t="shared" ref="G6:G22" si="2">E6/2</f>
        <v>1.2500000000000001E-2</v>
      </c>
      <c r="H6" s="7">
        <f>F6/E6</f>
        <v>0.64</v>
      </c>
    </row>
    <row r="7" spans="2:8">
      <c r="B7" s="6">
        <v>3</v>
      </c>
      <c r="C7" s="2">
        <v>7.4999999999999997E-2</v>
      </c>
      <c r="D7" s="2">
        <v>0.03</v>
      </c>
      <c r="E7" s="2">
        <f t="shared" si="0"/>
        <v>2.4999999999999994E-2</v>
      </c>
      <c r="F7" s="2">
        <f t="shared" si="1"/>
        <v>2.9999999999999992E-3</v>
      </c>
      <c r="G7" s="2">
        <f t="shared" si="2"/>
        <v>1.2499999999999997E-2</v>
      </c>
      <c r="H7" s="7">
        <f t="shared" ref="H7:H22" si="3">F7/E7</f>
        <v>0.12</v>
      </c>
    </row>
    <row r="8" spans="2:8">
      <c r="B8" s="6">
        <v>4</v>
      </c>
      <c r="C8" s="2">
        <v>0.1</v>
      </c>
      <c r="D8" s="2">
        <v>4.2000000000000003E-2</v>
      </c>
      <c r="E8" s="2">
        <f t="shared" si="0"/>
        <v>2.5000000000000008E-2</v>
      </c>
      <c r="F8" s="2">
        <f t="shared" si="1"/>
        <v>1.2000000000000004E-2</v>
      </c>
      <c r="G8" s="2">
        <f t="shared" si="2"/>
        <v>1.2500000000000004E-2</v>
      </c>
      <c r="H8" s="7">
        <f t="shared" si="3"/>
        <v>0.48</v>
      </c>
    </row>
    <row r="9" spans="2:8">
      <c r="B9" s="6">
        <v>5</v>
      </c>
      <c r="C9" s="2">
        <v>0.125</v>
      </c>
      <c r="D9" s="2">
        <v>7.1999999999999995E-2</v>
      </c>
      <c r="E9" s="2">
        <f t="shared" si="0"/>
        <v>2.4999999999999994E-2</v>
      </c>
      <c r="F9" s="2">
        <f t="shared" si="1"/>
        <v>2.9999999999999992E-2</v>
      </c>
      <c r="G9" s="2">
        <f t="shared" si="2"/>
        <v>1.2499999999999997E-2</v>
      </c>
      <c r="H9" s="7">
        <f t="shared" si="3"/>
        <v>1.2</v>
      </c>
    </row>
    <row r="10" spans="2:8">
      <c r="B10" s="6">
        <v>6</v>
      </c>
      <c r="C10" s="2">
        <v>0.15</v>
      </c>
      <c r="D10" s="2">
        <v>0.10100000000000001</v>
      </c>
      <c r="E10" s="2">
        <f t="shared" si="0"/>
        <v>2.4999999999999994E-2</v>
      </c>
      <c r="F10" s="2">
        <f t="shared" si="1"/>
        <v>2.9000000000000012E-2</v>
      </c>
      <c r="G10" s="2">
        <f t="shared" si="2"/>
        <v>1.2499999999999997E-2</v>
      </c>
      <c r="H10" s="7">
        <f t="shared" si="3"/>
        <v>1.1600000000000008</v>
      </c>
    </row>
    <row r="11" spans="2:8">
      <c r="B11" s="6">
        <v>7</v>
      </c>
      <c r="C11" s="2">
        <v>0.17499999999999999</v>
      </c>
      <c r="D11" s="2">
        <v>0.13600000000000001</v>
      </c>
      <c r="E11" s="2">
        <f t="shared" si="0"/>
        <v>2.4999999999999994E-2</v>
      </c>
      <c r="F11" s="2">
        <f t="shared" si="1"/>
        <v>3.5000000000000003E-2</v>
      </c>
      <c r="G11" s="2">
        <f t="shared" si="2"/>
        <v>1.2499999999999997E-2</v>
      </c>
      <c r="H11" s="7">
        <f t="shared" si="3"/>
        <v>1.4000000000000004</v>
      </c>
    </row>
    <row r="12" spans="2:8">
      <c r="B12" s="6">
        <v>8</v>
      </c>
      <c r="C12" s="2">
        <v>0.2</v>
      </c>
      <c r="D12" s="2">
        <v>0.17699999999999999</v>
      </c>
      <c r="E12" s="2">
        <f t="shared" si="0"/>
        <v>2.5000000000000022E-2</v>
      </c>
      <c r="F12" s="2">
        <f t="shared" si="1"/>
        <v>4.0999999999999981E-2</v>
      </c>
      <c r="G12" s="2">
        <f t="shared" si="2"/>
        <v>1.2500000000000011E-2</v>
      </c>
      <c r="H12" s="7">
        <f t="shared" si="3"/>
        <v>1.6399999999999977</v>
      </c>
    </row>
    <row r="13" spans="2:8">
      <c r="B13" s="6">
        <v>9</v>
      </c>
      <c r="C13" s="2">
        <v>0.22500000000000001</v>
      </c>
      <c r="D13" s="2">
        <v>0.224</v>
      </c>
      <c r="E13" s="2">
        <f t="shared" si="0"/>
        <v>2.4999999999999994E-2</v>
      </c>
      <c r="F13" s="2">
        <f t="shared" si="1"/>
        <v>4.7000000000000014E-2</v>
      </c>
      <c r="G13" s="2">
        <f t="shared" si="2"/>
        <v>1.2499999999999997E-2</v>
      </c>
      <c r="H13" s="7">
        <f t="shared" si="3"/>
        <v>1.880000000000001</v>
      </c>
    </row>
    <row r="14" spans="2:8">
      <c r="B14" s="6">
        <v>10</v>
      </c>
      <c r="C14" s="2">
        <v>0.25</v>
      </c>
      <c r="D14" s="2">
        <v>0.27600000000000002</v>
      </c>
      <c r="E14" s="2">
        <f t="shared" si="0"/>
        <v>2.4999999999999994E-2</v>
      </c>
      <c r="F14" s="2">
        <f t="shared" si="1"/>
        <v>5.2000000000000018E-2</v>
      </c>
      <c r="G14" s="2">
        <f t="shared" si="2"/>
        <v>1.2499999999999997E-2</v>
      </c>
      <c r="H14" s="7">
        <f t="shared" si="3"/>
        <v>2.0800000000000014</v>
      </c>
    </row>
    <row r="15" spans="2:8">
      <c r="B15" s="6">
        <v>11</v>
      </c>
      <c r="C15" s="2">
        <v>0.27500000000000002</v>
      </c>
      <c r="D15" s="2">
        <v>0.33650000000000002</v>
      </c>
      <c r="E15" s="2">
        <f t="shared" si="0"/>
        <v>2.5000000000000022E-2</v>
      </c>
      <c r="F15" s="2">
        <f t="shared" si="1"/>
        <v>6.0499999999999998E-2</v>
      </c>
      <c r="G15" s="2">
        <f t="shared" si="2"/>
        <v>1.2500000000000011E-2</v>
      </c>
      <c r="H15" s="7">
        <f t="shared" si="3"/>
        <v>2.4199999999999977</v>
      </c>
    </row>
    <row r="16" spans="2:8">
      <c r="B16" s="6">
        <v>12</v>
      </c>
      <c r="C16" s="2">
        <v>0.3</v>
      </c>
      <c r="D16" s="2">
        <v>0.39900000000000002</v>
      </c>
      <c r="E16" s="2">
        <f t="shared" si="0"/>
        <v>2.4999999999999967E-2</v>
      </c>
      <c r="F16" s="2">
        <f t="shared" si="1"/>
        <v>6.25E-2</v>
      </c>
      <c r="G16" s="2">
        <f t="shared" si="2"/>
        <v>1.2499999999999983E-2</v>
      </c>
      <c r="H16" s="7">
        <f t="shared" si="3"/>
        <v>2.5000000000000036</v>
      </c>
    </row>
    <row r="17" spans="2:8">
      <c r="B17" s="6">
        <v>13</v>
      </c>
      <c r="C17" s="2">
        <v>0.32500000000000001</v>
      </c>
      <c r="D17" s="2">
        <v>0.47099999999999997</v>
      </c>
      <c r="E17" s="2">
        <f t="shared" si="0"/>
        <v>2.5000000000000022E-2</v>
      </c>
      <c r="F17" s="2">
        <f t="shared" si="1"/>
        <v>7.1999999999999953E-2</v>
      </c>
      <c r="G17" s="2">
        <f t="shared" si="2"/>
        <v>1.2500000000000011E-2</v>
      </c>
      <c r="H17" s="7">
        <f t="shared" si="3"/>
        <v>2.8799999999999955</v>
      </c>
    </row>
    <row r="18" spans="2:8">
      <c r="B18" s="6">
        <v>14</v>
      </c>
      <c r="C18" s="2">
        <v>0.35</v>
      </c>
      <c r="D18" s="2">
        <v>0.54600000000000004</v>
      </c>
      <c r="E18" s="2">
        <f t="shared" si="0"/>
        <v>2.4999999999999967E-2</v>
      </c>
      <c r="F18" s="2">
        <f t="shared" si="1"/>
        <v>7.5000000000000067E-2</v>
      </c>
      <c r="G18" s="2">
        <f t="shared" si="2"/>
        <v>1.2499999999999983E-2</v>
      </c>
      <c r="H18" s="7">
        <f t="shared" si="3"/>
        <v>3.0000000000000067</v>
      </c>
    </row>
    <row r="19" spans="2:8">
      <c r="B19" s="6">
        <v>15</v>
      </c>
      <c r="C19" s="2">
        <v>0.375</v>
      </c>
      <c r="D19" s="2">
        <v>0.63200000000000001</v>
      </c>
      <c r="E19" s="2">
        <f t="shared" si="0"/>
        <v>2.5000000000000022E-2</v>
      </c>
      <c r="F19" s="2">
        <f t="shared" si="1"/>
        <v>8.5999999999999965E-2</v>
      </c>
      <c r="G19" s="2">
        <f t="shared" si="2"/>
        <v>1.2500000000000011E-2</v>
      </c>
      <c r="H19" s="7">
        <f t="shared" si="3"/>
        <v>3.4399999999999955</v>
      </c>
    </row>
    <row r="20" spans="2:8">
      <c r="B20" s="6">
        <v>16</v>
      </c>
      <c r="C20" s="2">
        <v>0.4</v>
      </c>
      <c r="D20" s="2">
        <v>0.72099999999999997</v>
      </c>
      <c r="E20" s="2">
        <f t="shared" si="0"/>
        <v>2.5000000000000022E-2</v>
      </c>
      <c r="F20" s="2">
        <f t="shared" si="1"/>
        <v>8.8999999999999968E-2</v>
      </c>
      <c r="G20" s="2">
        <f t="shared" si="2"/>
        <v>1.2500000000000011E-2</v>
      </c>
      <c r="H20" s="7">
        <f t="shared" si="3"/>
        <v>3.5599999999999956</v>
      </c>
    </row>
    <row r="21" spans="2:8">
      <c r="B21" s="6">
        <v>17</v>
      </c>
      <c r="C21" s="2">
        <v>0.42499999999999999</v>
      </c>
      <c r="D21" s="2">
        <v>0.81299999999999994</v>
      </c>
      <c r="E21" s="2">
        <f t="shared" si="0"/>
        <v>2.4999999999999967E-2</v>
      </c>
      <c r="F21" s="2">
        <f t="shared" si="1"/>
        <v>9.1999999999999971E-2</v>
      </c>
      <c r="G21" s="2">
        <f t="shared" si="2"/>
        <v>1.2499999999999983E-2</v>
      </c>
      <c r="H21" s="7">
        <f t="shared" si="3"/>
        <v>3.6800000000000037</v>
      </c>
    </row>
    <row r="22" spans="2:8" ht="24" thickBot="1">
      <c r="B22" s="8">
        <v>18</v>
      </c>
      <c r="C22" s="9">
        <v>0.45</v>
      </c>
      <c r="D22" s="9">
        <v>0.91200000000000003</v>
      </c>
      <c r="E22" s="9">
        <f t="shared" si="0"/>
        <v>2.5000000000000022E-2</v>
      </c>
      <c r="F22" s="9">
        <f t="shared" si="1"/>
        <v>9.9000000000000088E-2</v>
      </c>
      <c r="G22" s="9">
        <f t="shared" si="2"/>
        <v>1.2500000000000011E-2</v>
      </c>
      <c r="H22" s="10">
        <f t="shared" si="3"/>
        <v>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Chart 1</vt:lpstr>
      <vt:lpstr>Chart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2022-02-03T18:30:03Z</dcterms:created>
  <dcterms:modified xsi:type="dcterms:W3CDTF">2022-02-08T19:32:03Z</dcterms:modified>
</cp:coreProperties>
</file>