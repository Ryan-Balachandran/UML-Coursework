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ropbox/Umass Lowell/Linear Algebra I/"/>
    </mc:Choice>
  </mc:AlternateContent>
  <xr:revisionPtr revIDLastSave="0" documentId="10_ncr:8100000_{4E40E128-8614-414B-8034-CB17C56AC62B}" xr6:coauthVersionLast="32" xr6:coauthVersionMax="32" xr10:uidLastSave="{00000000-0000-0000-0000-000000000000}"/>
  <bookViews>
    <workbookView xWindow="0" yWindow="460" windowWidth="28800" windowHeight="16160" xr2:uid="{00000000-000D-0000-FFFF-FFFF00000000}"/>
  </bookViews>
  <sheets>
    <sheet name="Linear Algeb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9" i="1"/>
  <c r="F15" i="1" l="1"/>
  <c r="F12" i="1"/>
  <c r="F9" i="1" l="1"/>
  <c r="C6" i="1" l="1"/>
  <c r="G20" i="1" s="1"/>
</calcChain>
</file>

<file path=xl/sharedStrings.xml><?xml version="1.0" encoding="utf-8"?>
<sst xmlns="http://schemas.openxmlformats.org/spreadsheetml/2006/main" count="40" uniqueCount="31">
  <si>
    <t>Grade Distribution</t>
  </si>
  <si>
    <t>Percentage</t>
  </si>
  <si>
    <t>One hour exams</t>
  </si>
  <si>
    <t>Quizzes</t>
  </si>
  <si>
    <t>Final Exam</t>
  </si>
  <si>
    <t>Exam 1</t>
  </si>
  <si>
    <t>Exam 2</t>
  </si>
  <si>
    <t>63/100</t>
  </si>
  <si>
    <t>42/100</t>
  </si>
  <si>
    <t>98/100</t>
  </si>
  <si>
    <t>100/100</t>
  </si>
  <si>
    <t>Exam Average</t>
  </si>
  <si>
    <t>Quiz Average</t>
  </si>
  <si>
    <t>Final Grade</t>
  </si>
  <si>
    <t>Assignments</t>
  </si>
  <si>
    <t>Exam 3</t>
  </si>
  <si>
    <t>Points / possible</t>
  </si>
  <si>
    <t>Weighted Grade</t>
  </si>
  <si>
    <t>65/100</t>
  </si>
  <si>
    <t>Total</t>
  </si>
  <si>
    <t>64/100</t>
  </si>
  <si>
    <t>Weighted Final</t>
  </si>
  <si>
    <t>Points / Possible</t>
  </si>
  <si>
    <t>In-Class quiz 1</t>
  </si>
  <si>
    <t>In-Class quiz 2</t>
  </si>
  <si>
    <t>Take-home quiz 1</t>
  </si>
  <si>
    <t>Take-home quiz 2</t>
  </si>
  <si>
    <t>Take-home quiz 3</t>
  </si>
  <si>
    <t>Take-home quiz 4</t>
  </si>
  <si>
    <t>40/100</t>
  </si>
  <si>
    <t>90/100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</si>
</sst>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top"/>
    </xf>
    <xf numFmtId="9" fontId="2" fillId="0" borderId="2" xfId="2" applyFont="1" applyBorder="1" applyAlignment="1">
      <alignment horizontal="center" vertical="top"/>
    </xf>
    <xf numFmtId="9" fontId="2" fillId="0" borderId="1" xfId="2" applyFont="1" applyBorder="1" applyAlignment="1">
      <alignment horizontal="center" vertical="top"/>
    </xf>
    <xf numFmtId="43" fontId="2" fillId="0" borderId="0" xfId="1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10" fontId="2" fillId="0" borderId="0" xfId="0" applyNumberFormat="1" applyFont="1" applyBorder="1" applyAlignment="1">
      <alignment horizontal="center" vertical="top"/>
    </xf>
    <xf numFmtId="10" fontId="2" fillId="0" borderId="2" xfId="2" applyNumberFormat="1" applyFont="1" applyBorder="1" applyAlignment="1">
      <alignment horizontal="center" vertical="top"/>
    </xf>
    <xf numFmtId="10" fontId="2" fillId="0" borderId="2" xfId="0" applyNumberFormat="1" applyFont="1" applyBorder="1" applyAlignment="1">
      <alignment horizontal="center" vertical="top"/>
    </xf>
    <xf numFmtId="9" fontId="2" fillId="0" borderId="0" xfId="2" applyFont="1" applyAlignment="1">
      <alignment horizontal="center" vertical="top"/>
    </xf>
    <xf numFmtId="10" fontId="2" fillId="0" borderId="5" xfId="2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9" fontId="2" fillId="0" borderId="7" xfId="2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10" fontId="2" fillId="0" borderId="0" xfId="2" applyNumberFormat="1" applyFont="1" applyBorder="1" applyAlignment="1">
      <alignment horizontal="center" vertical="top"/>
    </xf>
    <xf numFmtId="49" fontId="2" fillId="0" borderId="0" xfId="0" applyNumberFormat="1" applyFont="1" applyBorder="1" applyAlignment="1">
      <alignment horizontal="center" vertical="top"/>
    </xf>
    <xf numFmtId="49" fontId="2" fillId="0" borderId="3" xfId="2" applyNumberFormat="1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140" zoomScaleNormal="140" workbookViewId="0">
      <selection activeCell="H7" sqref="H7"/>
    </sheetView>
  </sheetViews>
  <sheetFormatPr baseColWidth="10" defaultColWidth="10.6640625" defaultRowHeight="16" x14ac:dyDescent="0.2"/>
  <cols>
    <col min="1" max="1" width="10.6640625" style="1"/>
    <col min="2" max="2" width="17" style="1" bestFit="1" customWidth="1"/>
    <col min="3" max="3" width="15" style="1" bestFit="1" customWidth="1"/>
    <col min="4" max="4" width="10.33203125" style="1" bestFit="1" customWidth="1"/>
    <col min="5" max="5" width="13.5" style="1" bestFit="1" customWidth="1"/>
    <col min="6" max="6" width="15" style="1" bestFit="1" customWidth="1"/>
    <col min="7" max="7" width="7.5" style="1" bestFit="1" customWidth="1"/>
    <col min="8" max="16384" width="10.6640625" style="1"/>
  </cols>
  <sheetData>
    <row r="1" spans="2:7" ht="17" thickBot="1" x14ac:dyDescent="0.25"/>
    <row r="2" spans="2:7" ht="17" thickBot="1" x14ac:dyDescent="0.25">
      <c r="B2" s="14" t="s">
        <v>0</v>
      </c>
      <c r="C2" s="17" t="s">
        <v>1</v>
      </c>
      <c r="D2" s="9"/>
    </row>
    <row r="3" spans="2:7" x14ac:dyDescent="0.2">
      <c r="B3" s="11" t="s">
        <v>2</v>
      </c>
      <c r="C3" s="2">
        <v>0.7</v>
      </c>
    </row>
    <row r="4" spans="2:7" x14ac:dyDescent="0.2">
      <c r="B4" s="12" t="s">
        <v>3</v>
      </c>
      <c r="C4" s="3">
        <v>0.1</v>
      </c>
      <c r="G4" s="4"/>
    </row>
    <row r="5" spans="2:7" ht="17" thickBot="1" x14ac:dyDescent="0.25">
      <c r="B5" s="15" t="s">
        <v>4</v>
      </c>
      <c r="C5" s="13">
        <v>0.2</v>
      </c>
    </row>
    <row r="6" spans="2:7" x14ac:dyDescent="0.2">
      <c r="B6" s="11" t="s">
        <v>19</v>
      </c>
      <c r="C6" s="2">
        <f>SUM(C3:C5)</f>
        <v>1</v>
      </c>
    </row>
    <row r="7" spans="2:7" ht="17" thickBot="1" x14ac:dyDescent="0.25"/>
    <row r="8" spans="2:7" ht="17" thickBot="1" x14ac:dyDescent="0.25">
      <c r="B8" s="16" t="s">
        <v>14</v>
      </c>
      <c r="C8" s="14" t="s">
        <v>16</v>
      </c>
      <c r="D8" s="17" t="s">
        <v>1</v>
      </c>
      <c r="E8" s="14" t="s">
        <v>11</v>
      </c>
      <c r="F8" s="14" t="s">
        <v>17</v>
      </c>
      <c r="G8" s="5"/>
    </row>
    <row r="9" spans="2:7" x14ac:dyDescent="0.2">
      <c r="B9" s="11" t="s">
        <v>5</v>
      </c>
      <c r="C9" s="11" t="s">
        <v>7</v>
      </c>
      <c r="D9" s="2">
        <v>0.63</v>
      </c>
      <c r="E9" s="7">
        <f>AVERAGE(D9:D11)</f>
        <v>0.56333333333333335</v>
      </c>
      <c r="F9" s="7">
        <f>(E9)*(C3)</f>
        <v>0.39433333333333331</v>
      </c>
      <c r="G9" s="5"/>
    </row>
    <row r="10" spans="2:7" ht="17" thickBot="1" x14ac:dyDescent="0.25">
      <c r="B10" s="12" t="s">
        <v>6</v>
      </c>
      <c r="C10" s="12" t="s">
        <v>8</v>
      </c>
      <c r="D10" s="3">
        <v>0.42</v>
      </c>
      <c r="E10" s="18"/>
      <c r="F10" s="18"/>
    </row>
    <row r="11" spans="2:7" ht="17" thickBot="1" x14ac:dyDescent="0.25">
      <c r="B11" s="12" t="s">
        <v>15</v>
      </c>
      <c r="C11" s="12" t="s">
        <v>20</v>
      </c>
      <c r="D11" s="3">
        <v>0.64</v>
      </c>
      <c r="E11" s="18"/>
      <c r="F11" s="20" t="s">
        <v>21</v>
      </c>
      <c r="G11" s="5"/>
    </row>
    <row r="12" spans="2:7" x14ac:dyDescent="0.2">
      <c r="B12" s="12" t="s">
        <v>4</v>
      </c>
      <c r="C12" s="12"/>
      <c r="D12" s="3"/>
      <c r="E12" s="18"/>
      <c r="F12" s="7">
        <f>D12*C5</f>
        <v>0</v>
      </c>
    </row>
    <row r="13" spans="2:7" ht="17" thickBot="1" x14ac:dyDescent="0.25">
      <c r="G13" s="5"/>
    </row>
    <row r="14" spans="2:7" ht="17" thickBot="1" x14ac:dyDescent="0.25">
      <c r="B14" s="14" t="s">
        <v>14</v>
      </c>
      <c r="C14" s="14" t="s">
        <v>16</v>
      </c>
      <c r="D14" s="14" t="s">
        <v>1</v>
      </c>
      <c r="E14" s="14" t="s">
        <v>12</v>
      </c>
      <c r="F14" s="17" t="s">
        <v>17</v>
      </c>
      <c r="G14" s="5"/>
    </row>
    <row r="15" spans="2:7" x14ac:dyDescent="0.2">
      <c r="B15" s="11" t="s">
        <v>25</v>
      </c>
      <c r="C15" s="11" t="s">
        <v>9</v>
      </c>
      <c r="D15" s="2">
        <v>0.98</v>
      </c>
      <c r="E15" s="8">
        <f>AVERAGE(D15:D18:D21:D22)</f>
        <v>0.81833333333333336</v>
      </c>
      <c r="F15" s="8">
        <f>(E15)*(C4)</f>
        <v>8.1833333333333341E-2</v>
      </c>
      <c r="G15" s="5"/>
    </row>
    <row r="16" spans="2:7" x14ac:dyDescent="0.2">
      <c r="B16" s="12" t="s">
        <v>26</v>
      </c>
      <c r="C16" s="12" t="s">
        <v>10</v>
      </c>
      <c r="D16" s="3">
        <v>1</v>
      </c>
      <c r="E16" s="6"/>
      <c r="F16" s="6"/>
    </row>
    <row r="17" spans="1:7" x14ac:dyDescent="0.2">
      <c r="B17" s="12" t="s">
        <v>27</v>
      </c>
      <c r="C17" s="12" t="s">
        <v>9</v>
      </c>
      <c r="D17" s="3">
        <v>0.98</v>
      </c>
      <c r="E17" s="6"/>
      <c r="F17" s="6"/>
      <c r="G17" s="5"/>
    </row>
    <row r="18" spans="1:7" x14ac:dyDescent="0.2">
      <c r="B18" s="12" t="s">
        <v>28</v>
      </c>
      <c r="C18" s="12" t="s">
        <v>30</v>
      </c>
      <c r="D18" s="3">
        <v>0.9</v>
      </c>
      <c r="E18" s="6"/>
      <c r="F18" s="6"/>
      <c r="G18" s="5"/>
    </row>
    <row r="19" spans="1:7" ht="17" thickBot="1" x14ac:dyDescent="0.25">
      <c r="A19" s="5"/>
      <c r="B19" s="19"/>
      <c r="C19" s="19"/>
      <c r="D19" s="6"/>
      <c r="E19" s="6"/>
      <c r="F19" s="6"/>
      <c r="G19" s="5"/>
    </row>
    <row r="20" spans="1:7" ht="17" thickBot="1" x14ac:dyDescent="0.25">
      <c r="A20" s="5"/>
      <c r="B20" s="14" t="s">
        <v>14</v>
      </c>
      <c r="C20" s="14" t="s">
        <v>22</v>
      </c>
      <c r="D20" s="17" t="s">
        <v>1</v>
      </c>
      <c r="E20" s="6"/>
      <c r="F20" s="14" t="s">
        <v>13</v>
      </c>
      <c r="G20" s="10">
        <f>(F9+F12+F15)*C6</f>
        <v>0.47616666666666663</v>
      </c>
    </row>
    <row r="21" spans="1:7" x14ac:dyDescent="0.2">
      <c r="A21" s="5"/>
      <c r="B21" s="11" t="s">
        <v>23</v>
      </c>
      <c r="C21" s="12" t="s">
        <v>29</v>
      </c>
      <c r="D21" s="2">
        <v>0.4</v>
      </c>
      <c r="E21" s="5"/>
      <c r="F21" s="5"/>
      <c r="G21" s="5"/>
    </row>
    <row r="22" spans="1:7" x14ac:dyDescent="0.2">
      <c r="A22" s="5"/>
      <c r="B22" s="12" t="s">
        <v>24</v>
      </c>
      <c r="C22" s="12" t="s">
        <v>18</v>
      </c>
      <c r="D22" s="3">
        <v>0.65</v>
      </c>
      <c r="E22" s="5"/>
      <c r="F22" s="5"/>
      <c r="G22" s="5"/>
    </row>
    <row r="24" spans="1:7" x14ac:dyDescent="0.2">
      <c r="E24" s="5"/>
      <c r="F24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 Algebra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Balachandran</dc:creator>
  <cp:lastModifiedBy>Ryan Balachandran</cp:lastModifiedBy>
  <dcterms:created xsi:type="dcterms:W3CDTF">2018-03-22T16:50:08Z</dcterms:created>
  <dcterms:modified xsi:type="dcterms:W3CDTF">2018-05-02T20:05:48Z</dcterms:modified>
</cp:coreProperties>
</file>